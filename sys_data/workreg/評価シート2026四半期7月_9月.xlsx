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user\Desktop\20260607\20260502\使用中2026\2026評価シート\"/>
    </mc:Choice>
  </mc:AlternateContent>
  <xr:revisionPtr revIDLastSave="0" documentId="13_ncr:1_{08F76C6D-7279-4BEE-97A7-DBF753B1D55C}" xr6:coauthVersionLast="47" xr6:coauthVersionMax="47" xr10:uidLastSave="{00000000-0000-0000-0000-000000000000}"/>
  <bookViews>
    <workbookView xWindow="-110" yWindow="-110" windowWidth="22780" windowHeight="14540" xr2:uid="{00000000-000D-0000-FFFF-FFFF00000000}"/>
  </bookViews>
  <sheets>
    <sheet name="メンバー" sheetId="5" r:id="rId1"/>
    <sheet name="ブロック長 " sheetId="6" r:id="rId2"/>
    <sheet name="エリマネ " sheetId="7" r:id="rId3"/>
    <sheet name="部長 " sheetId="8" r:id="rId4"/>
  </sheets>
  <definedNames>
    <definedName name="_xlnm.Print_Area" localSheetId="2">'エリマネ '!$A$1:$AF$21</definedName>
    <definedName name="_xlnm.Print_Area" localSheetId="1">'ブロック長 '!$A$1:$AF$21</definedName>
    <definedName name="_xlnm.Print_Area" localSheetId="3">'部長 '!$A$1:$AF$28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7" i="8" l="1"/>
  <c r="Y17" i="8"/>
  <c r="Y13" i="8"/>
  <c r="Y9" i="8"/>
  <c r="AA5" i="8" s="1"/>
  <c r="Y5" i="8"/>
  <c r="Y17" i="7"/>
  <c r="Y13" i="7"/>
  <c r="Y9" i="7"/>
  <c r="Y5" i="7"/>
  <c r="AA5" i="7" s="1"/>
  <c r="L100" i="6"/>
  <c r="Y17" i="6"/>
  <c r="Y13" i="6"/>
  <c r="Y9" i="6"/>
  <c r="AA5" i="6"/>
  <c r="Y5" i="6"/>
  <c r="Y17" i="5"/>
  <c r="Y13" i="5"/>
  <c r="Y9" i="5"/>
  <c r="Y5" i="5"/>
  <c r="AA5" i="5" l="1"/>
</calcChain>
</file>

<file path=xl/sharedStrings.xml><?xml version="1.0" encoding="utf-8"?>
<sst xmlns="http://schemas.openxmlformats.org/spreadsheetml/2006/main" count="526" uniqueCount="173">
  <si>
    <t>部門ミッション・課題</t>
  </si>
  <si>
    <t>個人目標
(評価者　記入)</t>
  </si>
  <si>
    <t>結果</t>
  </si>
  <si>
    <t>基準点</t>
  </si>
  <si>
    <t>基準点
結果</t>
  </si>
  <si>
    <t>重要度</t>
  </si>
  <si>
    <t>評価点</t>
  </si>
  <si>
    <t>合計
評価点</t>
  </si>
  <si>
    <t>自己分析コメント</t>
  </si>
  <si>
    <t>部門課題・戦略に沿った目標</t>
  </si>
  <si>
    <t>①</t>
  </si>
  <si>
    <t>75未満</t>
  </si>
  <si>
    <t>120以上</t>
  </si>
  <si>
    <t>②</t>
  </si>
  <si>
    <t>毎月の個人売上目標達成</t>
  </si>
  <si>
    <t>300以上</t>
  </si>
  <si>
    <t>③</t>
  </si>
  <si>
    <t>店舗日割目標売上の達成率</t>
  </si>
  <si>
    <t>0%</t>
  </si>
  <si>
    <t>100%</t>
  </si>
  <si>
    <t>④</t>
  </si>
  <si>
    <t>修理単価の向上</t>
  </si>
  <si>
    <t>ブロック売上目標達成</t>
  </si>
  <si>
    <t>マネジメント指標</t>
  </si>
  <si>
    <t>０</t>
  </si>
  <si>
    <t>毎月の以下の提出期限が守れていれば達成月毎に加点 月間報告書（ﾒｰﾙ）出勤簿（cw）月末発送・スキャンデータZIPファイル提出（cw）</t>
  </si>
  <si>
    <t>①【エリア売上目標達成】 月途中からの開店の店舗は除外</t>
  </si>
  <si>
    <t>④月間報告書10日</t>
  </si>
  <si>
    <t>出勤簿、事務からの指定日に提出</t>
  </si>
  <si>
    <t>月末発送5日到着</t>
  </si>
  <si>
    <t>スキャンデータ10日</t>
  </si>
  <si>
    <t>本部長からのミッション</t>
  </si>
  <si>
    <t>モバイル事業部売上目標達成</t>
  </si>
  <si>
    <t>行動の変化 　</t>
  </si>
  <si>
    <t>会社貢献</t>
    <phoneticPr fontId="22"/>
  </si>
  <si>
    <t>店舗成長指数</t>
    <rPh sb="0" eb="4">
      <t>テンポセイチョウ</t>
    </rPh>
    <rPh sb="4" eb="6">
      <t>シスウ</t>
    </rPh>
    <phoneticPr fontId="22"/>
  </si>
  <si>
    <t>既存店舗売上成長率前年同月比</t>
    <rPh sb="0" eb="4">
      <t>キゾンテンポ</t>
    </rPh>
    <rPh sb="4" eb="6">
      <t>ウリアゲ</t>
    </rPh>
    <rPh sb="6" eb="8">
      <t>セイチョウ</t>
    </rPh>
    <rPh sb="8" eb="9">
      <t>リツ</t>
    </rPh>
    <rPh sb="9" eb="14">
      <t>ゼンネンドウゲツヒ</t>
    </rPh>
    <phoneticPr fontId="22"/>
  </si>
  <si>
    <r>
      <rPr>
        <sz val="10"/>
        <color theme="1"/>
        <rFont val="ＭＳ Ｐゴシック"/>
        <family val="3"/>
        <charset val="128"/>
        <scheme val="minor"/>
      </rPr>
      <t>ブロック売上予算達成</t>
    </r>
    <r>
      <rPr>
        <sz val="9"/>
        <color theme="1"/>
        <rFont val="ＭＳ Ｐゴシック"/>
        <family val="3"/>
        <charset val="128"/>
        <scheme val="minor"/>
      </rPr>
      <t>（組織貢献）
※所属ブロックは四半期開始時に決定。
所属ブロック以外での勤務が40％を超過した場合はブロックの所属するエリアの目標達成率で評価する。
※ブロックエリアの異動"ブロック売上目標達成（組織貢献）
※所属ブロックは四半期開始時に決定。
所属ブロック以外での勤務が40％を超過した場合はブロックの所属するエリアの目標達成率で評価する。
※ブロックエリアの異動があった場合は所属月数で按分評価。</t>
    </r>
    <rPh sb="6" eb="8">
      <t>ヨサン</t>
    </rPh>
    <phoneticPr fontId="22"/>
  </si>
  <si>
    <r>
      <t xml:space="preserve">ブロック予算達成で100% 60点
※新規店舗は初月なし
※閉店店舗は分母から除く
</t>
    </r>
    <r>
      <rPr>
        <sz val="8"/>
        <color theme="1"/>
        <rFont val="ＭＳ Ｐゴシック"/>
        <family val="3"/>
        <charset val="128"/>
        <scheme val="minor"/>
      </rPr>
      <t>※小数点第1位以下四捨五入※ブロック売上/予算</t>
    </r>
    <rPh sb="4" eb="6">
      <t>ヨサン</t>
    </rPh>
    <rPh sb="6" eb="8">
      <t>タッセイ</t>
    </rPh>
    <rPh sb="19" eb="23">
      <t>シンキテンポ</t>
    </rPh>
    <rPh sb="24" eb="26">
      <t>ショゲツ</t>
    </rPh>
    <rPh sb="60" eb="62">
      <t>ウリアゲ</t>
    </rPh>
    <rPh sb="63" eb="65">
      <t>ヨサン</t>
    </rPh>
    <phoneticPr fontId="22"/>
  </si>
  <si>
    <t>毎月平均100万円の達成※小数点第1位以下四捨五入※当日お渡し以外の修理については、会計担当者の実績になります。※お渡し予定日は、事前にシフトを確認した上で回答してください。  ※個人売上/100</t>
    <rPh sb="90" eb="94">
      <t>コジンウリアゲ</t>
    </rPh>
    <phoneticPr fontId="22"/>
  </si>
  <si>
    <t>エリア売上目標達成　　　　　　　（組織貢献）</t>
    <phoneticPr fontId="22"/>
  </si>
  <si>
    <t>エリア内毎月平均1店舗あたり売上200万円の達成100%
※閉店初月除外。6ヶ月以内は予算達成で100%</t>
    <rPh sb="32" eb="34">
      <t>ショゲツ</t>
    </rPh>
    <rPh sb="34" eb="36">
      <t>ジョガイ</t>
    </rPh>
    <rPh sb="43" eb="45">
      <t>ヨサン</t>
    </rPh>
    <rPh sb="45" eb="47">
      <t>タッセイ</t>
    </rPh>
    <phoneticPr fontId="22"/>
  </si>
  <si>
    <r>
      <t xml:space="preserve">予算達成で100%　
開店初月は除外
</t>
    </r>
    <r>
      <rPr>
        <sz val="8"/>
        <color theme="1"/>
        <rFont val="ＭＳ Ｐゴシック"/>
        <family val="3"/>
        <charset val="128"/>
        <scheme val="minor"/>
      </rPr>
      <t>※小数点第1位以下四捨五入</t>
    </r>
    <rPh sb="0" eb="2">
      <t>ヨサン</t>
    </rPh>
    <rPh sb="2" eb="4">
      <t>タッセイ</t>
    </rPh>
    <rPh sb="11" eb="13">
      <t>カイテン</t>
    </rPh>
    <rPh sb="13" eb="15">
      <t>ショゲツ</t>
    </rPh>
    <rPh sb="16" eb="18">
      <t>ジョガイ</t>
    </rPh>
    <phoneticPr fontId="22"/>
  </si>
  <si>
    <t>モバイル事業本部売上予算達成(組織貢献項目）で100%
※閉店初月を分母から除く</t>
    <rPh sb="31" eb="33">
      <t>ショゲツ</t>
    </rPh>
    <phoneticPr fontId="22"/>
  </si>
  <si>
    <t>モバイル事業本部売上予算達成</t>
    <phoneticPr fontId="22"/>
  </si>
  <si>
    <t>エリア売上予算達成</t>
    <phoneticPr fontId="22"/>
  </si>
  <si>
    <t>エリア売上予算達成で100%
※閉店初月を分母から除く</t>
    <rPh sb="18" eb="20">
      <t>ショゲツ</t>
    </rPh>
    <phoneticPr fontId="22"/>
  </si>
  <si>
    <t>純利益店舗</t>
    <rPh sb="0" eb="1">
      <t>ジュン</t>
    </rPh>
    <phoneticPr fontId="22"/>
  </si>
  <si>
    <t>③</t>
    <phoneticPr fontId="22"/>
  </si>
  <si>
    <t xml:space="preserve">家賃、人件費、部品の原価等から利益がでたか　　　　　総売上-家賃-人件費-原価＝○○円　　　　　　　　　　　開店初月は除く　　　　　　　　　達成店舗/総店舗
</t>
    <rPh sb="54" eb="56">
      <t>カイテン</t>
    </rPh>
    <rPh sb="56" eb="58">
      <t>ショゲツ</t>
    </rPh>
    <phoneticPr fontId="22"/>
  </si>
  <si>
    <t>相模原駅前店</t>
  </si>
  <si>
    <t>ルミネ立川店</t>
  </si>
  <si>
    <t>橋本駅ビル店</t>
  </si>
  <si>
    <t>八王子オーパ店</t>
  </si>
  <si>
    <t>国分寺マルイ店</t>
  </si>
  <si>
    <t>府中くるる店</t>
  </si>
  <si>
    <t>調布駅前店</t>
  </si>
  <si>
    <t>多摩センター駅前店</t>
  </si>
  <si>
    <t>アトレ吉祥寺店</t>
  </si>
  <si>
    <t>中野マルイ店</t>
  </si>
  <si>
    <t>高円寺駅前店</t>
  </si>
  <si>
    <t>ルミネ新宿店</t>
  </si>
  <si>
    <t>新宿東南口店</t>
  </si>
  <si>
    <t>下北沢店</t>
  </si>
  <si>
    <t>渋谷センター街店</t>
  </si>
  <si>
    <t>東京メトロ渋谷ハチ公口店</t>
  </si>
  <si>
    <t>池袋東口店</t>
  </si>
  <si>
    <t>池袋西口地下街店</t>
  </si>
  <si>
    <t>BIGBOX高田馬場店</t>
  </si>
  <si>
    <t>東京駅ヤエチカ店</t>
  </si>
  <si>
    <t>有楽町交通会館店</t>
  </si>
  <si>
    <t>新橋駅前店</t>
  </si>
  <si>
    <t>東京メトロ銀座店</t>
  </si>
  <si>
    <t>ルミネ北千住店</t>
  </si>
  <si>
    <t>秋葉原店</t>
  </si>
  <si>
    <t>アトレ亀戸店</t>
  </si>
  <si>
    <t>日暮里駅前店</t>
  </si>
  <si>
    <t>品川港南口店</t>
  </si>
  <si>
    <t>目黒駅前店</t>
  </si>
  <si>
    <t>五反田駅前店</t>
  </si>
  <si>
    <t>アトレ上野店</t>
  </si>
  <si>
    <t>錦糸町駅前店</t>
  </si>
  <si>
    <t>新小岩駅前店</t>
  </si>
  <si>
    <t>アトレ新浦安店</t>
  </si>
  <si>
    <t>松戸駅前店</t>
  </si>
  <si>
    <t>東武百貨店船橋店</t>
  </si>
  <si>
    <t>千葉駅前店</t>
  </si>
  <si>
    <t>ルミネ大宮店</t>
  </si>
  <si>
    <t>アトレ浦和店</t>
  </si>
  <si>
    <t>宇都宮駅前店</t>
  </si>
  <si>
    <t>アトレ川越店</t>
  </si>
  <si>
    <t>所沢駅前店</t>
  </si>
  <si>
    <t>川口駅前店</t>
  </si>
  <si>
    <t>赤羽店</t>
  </si>
  <si>
    <t>横浜西口店</t>
  </si>
  <si>
    <t>横浜ポルタ店</t>
  </si>
  <si>
    <t>ドン・キホーテ蒲田駅前店</t>
  </si>
  <si>
    <t>戸塚トツカーナ店</t>
  </si>
  <si>
    <t>川崎アゼリア店</t>
  </si>
  <si>
    <t>マルイファミリー溝口店</t>
  </si>
  <si>
    <t>武蔵小杉店</t>
  </si>
  <si>
    <t>青葉台店</t>
  </si>
  <si>
    <t>町田店</t>
  </si>
  <si>
    <t>相模大野ステーションスクエア店</t>
  </si>
  <si>
    <t>アミューあつぎ店</t>
  </si>
  <si>
    <t>海老名マルイ店</t>
  </si>
  <si>
    <t>藤沢ODAKYU湘南GATE店</t>
  </si>
  <si>
    <t>大和駅前店</t>
  </si>
  <si>
    <t>大丸梅田店</t>
  </si>
  <si>
    <t>大阪駅前第4ビル店</t>
  </si>
  <si>
    <t>なんばマルイ店</t>
  </si>
  <si>
    <t>天王寺あべのハルカス店</t>
  </si>
  <si>
    <t>京橋 京阪モール店</t>
  </si>
  <si>
    <t>大丸京都店</t>
  </si>
  <si>
    <t>京都駅八条口店</t>
  </si>
  <si>
    <t>神戸三宮さんプラザ店</t>
  </si>
  <si>
    <t>明石駅前店</t>
  </si>
  <si>
    <t>阪急西宮北口店</t>
  </si>
  <si>
    <t>名古屋駅エスカ地下街店</t>
  </si>
  <si>
    <t>メルサ栄店</t>
  </si>
  <si>
    <t>金山駅前店</t>
  </si>
  <si>
    <t>札幌大通ナナイロ店</t>
  </si>
  <si>
    <t>東急百貨店さっぽろ店</t>
  </si>
  <si>
    <t>アミュエスト博多店</t>
  </si>
  <si>
    <t>大丸福岡天神店</t>
  </si>
  <si>
    <t>仙台駅前店</t>
  </si>
  <si>
    <t>水戸駅前店</t>
  </si>
  <si>
    <t>1月</t>
    <rPh sb="1" eb="2">
      <t>ツキ</t>
    </rPh>
    <phoneticPr fontId="22"/>
  </si>
  <si>
    <t>2月</t>
    <rPh sb="1" eb="2">
      <t>ツキ</t>
    </rPh>
    <phoneticPr fontId="22"/>
  </si>
  <si>
    <t>3月</t>
    <rPh sb="1" eb="2">
      <t>ツキ</t>
    </rPh>
    <phoneticPr fontId="22"/>
  </si>
  <si>
    <t>4月</t>
  </si>
  <si>
    <t>5月</t>
  </si>
  <si>
    <t>6月</t>
  </si>
  <si>
    <t>7月</t>
  </si>
  <si>
    <t>8月</t>
  </si>
  <si>
    <t>9月</t>
  </si>
  <si>
    <t>10月</t>
  </si>
  <si>
    <t>11月</t>
  </si>
  <si>
    <t>12月</t>
  </si>
  <si>
    <t>2026予算</t>
    <rPh sb="4" eb="6">
      <t>ヨサン</t>
    </rPh>
    <phoneticPr fontId="22"/>
  </si>
  <si>
    <t>家賃、人件費、部品の原価等からどれだけの利益が全体で上がったか　　　　　　　総売上-家賃-人件費-使用原価＝○○円　　　　　　　　予算達成店舗/全店舗　　　　　　　　　　（半年以内の店舗は除く）KPIDBの数値＝実績　の予算対比の達成率　　　　</t>
    <rPh sb="0" eb="2">
      <t>ヤチン</t>
    </rPh>
    <rPh sb="49" eb="51">
      <t>シヨウ</t>
    </rPh>
    <rPh sb="65" eb="67">
      <t>ヨサン</t>
    </rPh>
    <rPh sb="67" eb="69">
      <t>タッセイ</t>
    </rPh>
    <rPh sb="69" eb="71">
      <t>テンポ</t>
    </rPh>
    <rPh sb="72" eb="73">
      <t>ゼン</t>
    </rPh>
    <rPh sb="73" eb="75">
      <t>テンポ</t>
    </rPh>
    <phoneticPr fontId="22"/>
  </si>
  <si>
    <t>個人KPI行動量70%で60点</t>
    <rPh sb="0" eb="2">
      <t>コジン</t>
    </rPh>
    <rPh sb="5" eb="7">
      <t>コウドウ</t>
    </rPh>
    <rPh sb="7" eb="8">
      <t>リョウ</t>
    </rPh>
    <rPh sb="14" eb="15">
      <t>テン</t>
    </rPh>
    <phoneticPr fontId="22"/>
  </si>
  <si>
    <t>店舗予算達成率による評価基準
各店舗の予算日割目標を毎月達成できているか。　　　　　　
※予算達成日数/出勤日数</t>
    <rPh sb="2" eb="4">
      <t>ヨサン</t>
    </rPh>
    <rPh sb="4" eb="6">
      <t>タッセイ</t>
    </rPh>
    <rPh sb="6" eb="7">
      <t>リツ</t>
    </rPh>
    <rPh sb="19" eb="21">
      <t>ヨサン</t>
    </rPh>
    <rPh sb="45" eb="47">
      <t>ヨサン</t>
    </rPh>
    <rPh sb="47" eb="49">
      <t>タッセイ</t>
    </rPh>
    <rPh sb="49" eb="51">
      <t>ニッスウ</t>
    </rPh>
    <rPh sb="52" eb="56">
      <t>シュッキンニッスウ</t>
    </rPh>
    <phoneticPr fontId="22"/>
  </si>
  <si>
    <t>ブロックの行動量70%で60点</t>
    <rPh sb="5" eb="8">
      <t>コウドウリョウ</t>
    </rPh>
    <rPh sb="14" eb="15">
      <t>テン</t>
    </rPh>
    <phoneticPr fontId="22"/>
  </si>
  <si>
    <t>100以上</t>
    <rPh sb="3" eb="5">
      <t>イジョウ</t>
    </rPh>
    <phoneticPr fontId="22"/>
  </si>
  <si>
    <r>
      <t>１店舗全項目　　　　　期限厳守で達成　　　　</t>
    </r>
    <r>
      <rPr>
        <sz val="10"/>
        <color theme="1"/>
        <rFont val="ＭＳ Ｐゴシック"/>
        <family val="3"/>
        <charset val="128"/>
        <scheme val="minor"/>
      </rPr>
      <t>達成店舗/店舗数</t>
    </r>
    <r>
      <rPr>
        <sz val="11"/>
        <color theme="1"/>
        <rFont val="ＭＳ Ｐゴシック"/>
        <family val="3"/>
        <charset val="128"/>
        <scheme val="minor"/>
      </rPr>
      <t>　　　　　　</t>
    </r>
    <r>
      <rPr>
        <sz val="8"/>
        <color theme="1"/>
        <rFont val="ＭＳ Ｐゴシック"/>
        <family val="3"/>
        <charset val="128"/>
        <scheme val="minor"/>
      </rPr>
      <t>※小数点第1位以下四捨五入</t>
    </r>
    <r>
      <rPr>
        <sz val="11"/>
        <color theme="1"/>
        <rFont val="ＭＳ Ｐゴシック"/>
        <family val="3"/>
        <charset val="128"/>
        <scheme val="minor"/>
      </rPr>
      <t>※コンプライアンス違反があった場合は0点になる。</t>
    </r>
    <rPh sb="58" eb="60">
      <t>イハン</t>
    </rPh>
    <rPh sb="64" eb="66">
      <t>バアイ</t>
    </rPh>
    <rPh sb="68" eb="69">
      <t>テン</t>
    </rPh>
    <phoneticPr fontId="22"/>
  </si>
  <si>
    <t>7月○○件　 　　　　　8月○○件 　　　　　　9月○○件 　　　    第3四半期           合計○○件</t>
    <rPh sb="4" eb="5">
      <t>ケン</t>
    </rPh>
    <rPh sb="14" eb="17">
      <t>マルマルケン</t>
    </rPh>
    <rPh sb="26" eb="29">
      <t>マルマルケン</t>
    </rPh>
    <rPh sb="37" eb="38">
      <t>ダイ</t>
    </rPh>
    <rPh sb="57" eb="58">
      <t>ケン</t>
    </rPh>
    <phoneticPr fontId="22"/>
  </si>
  <si>
    <t>0件</t>
    <rPh sb="1" eb="2">
      <t>ケン</t>
    </rPh>
    <phoneticPr fontId="22"/>
  </si>
  <si>
    <t>1件</t>
    <rPh sb="1" eb="2">
      <t>ケン</t>
    </rPh>
    <phoneticPr fontId="22"/>
  </si>
  <si>
    <t>3件</t>
    <rPh sb="1" eb="2">
      <t>ケン</t>
    </rPh>
    <phoneticPr fontId="22"/>
  </si>
  <si>
    <t>2件</t>
    <rPh sb="1" eb="2">
      <t>ケン</t>
    </rPh>
    <phoneticPr fontId="22"/>
  </si>
  <si>
    <t>4件</t>
    <rPh sb="1" eb="2">
      <t>ケン</t>
    </rPh>
    <phoneticPr fontId="22"/>
  </si>
  <si>
    <t>5件</t>
    <rPh sb="1" eb="2">
      <t>ケン</t>
    </rPh>
    <phoneticPr fontId="22"/>
  </si>
  <si>
    <t>6件</t>
    <rPh sb="1" eb="2">
      <t>ケン</t>
    </rPh>
    <phoneticPr fontId="22"/>
  </si>
  <si>
    <t>コンプライアンス委員会での審議事項で処罰対象となる案件が四半期で1件で-5点（合計点から-）
※コンプライアンス違反事案の隠ぺい・報告義務違反の場合は総合得点から1件毎にマイナス20pt</t>
    <rPh sb="28" eb="31">
      <t>シハンキ</t>
    </rPh>
    <rPh sb="37" eb="38">
      <t>テン</t>
    </rPh>
    <rPh sb="39" eb="42">
      <t>ゴウケイテン</t>
    </rPh>
    <phoneticPr fontId="22"/>
  </si>
  <si>
    <t>7月　〇%　　            8月　〇%　
9月　〇%　</t>
    <phoneticPr fontId="22"/>
  </si>
  <si>
    <t>7月 0/0　％　　　　　　8月 0/0　％　　　　　　9月 0/0  ％　　　　　　四半期合計　　　　　 〇/〇　〇％</t>
    <phoneticPr fontId="22"/>
  </si>
  <si>
    <t>第3 四半期</t>
    <rPh sb="0" eb="1">
      <t>ダイ</t>
    </rPh>
    <rPh sb="3" eb="6">
      <t>シハンキ</t>
    </rPh>
    <phoneticPr fontId="22"/>
  </si>
  <si>
    <t>7月 0/0　％　　　　　　8月 0/0　％　　　　　　9月 0/0 ％　　　　　　四半期合計　　　　　 〇/〇　〇％</t>
    <phoneticPr fontId="22"/>
  </si>
  <si>
    <t>7月 ○○％　　　　　　8月 ○○％　　　　　　9月 ○○％　　　　　　四半期合計○○%</t>
    <phoneticPr fontId="22"/>
  </si>
  <si>
    <t xml:space="preserve">発生事案（報告書提出）と結果（処罰の対処になったか）　　　　　　　7月〇件　　　　　　　　　8月〇件　　　　　　　　　　9月〇件
</t>
    <rPh sb="34" eb="35">
      <t>ツキ</t>
    </rPh>
    <rPh sb="36" eb="37">
      <t>ケン</t>
    </rPh>
    <rPh sb="47" eb="48">
      <t>ツキ</t>
    </rPh>
    <rPh sb="49" eb="50">
      <t>ケン</t>
    </rPh>
    <rPh sb="61" eb="62">
      <t>ツキ</t>
    </rPh>
    <rPh sb="62" eb="64">
      <t>マルケン</t>
    </rPh>
    <phoneticPr fontId="22"/>
  </si>
  <si>
    <t>7月〇円〇%            8月〇円〇%                   9月〇円〇%</t>
    <rPh sb="1" eb="2">
      <t>ツキ</t>
    </rPh>
    <rPh sb="3" eb="4">
      <t>エン</t>
    </rPh>
    <rPh sb="19" eb="20">
      <t>ツキ</t>
    </rPh>
    <rPh sb="21" eb="22">
      <t>エン</t>
    </rPh>
    <rPh sb="44" eb="45">
      <t>ツキ</t>
    </rPh>
    <rPh sb="46" eb="47">
      <t>エン</t>
    </rPh>
    <phoneticPr fontId="22"/>
  </si>
  <si>
    <t>10%</t>
    <phoneticPr fontId="22"/>
  </si>
  <si>
    <t>20%</t>
    <phoneticPr fontId="22"/>
  </si>
  <si>
    <t>30%</t>
    <phoneticPr fontId="22"/>
  </si>
  <si>
    <t>40%</t>
    <phoneticPr fontId="22"/>
  </si>
  <si>
    <t>50%</t>
    <phoneticPr fontId="22"/>
  </si>
  <si>
    <t>60%</t>
    <phoneticPr fontId="22"/>
  </si>
  <si>
    <t>70%</t>
    <phoneticPr fontId="22"/>
  </si>
  <si>
    <t>80%</t>
    <phoneticPr fontId="22"/>
  </si>
  <si>
    <t>90%</t>
    <phoneticPr fontId="22"/>
  </si>
  <si>
    <t>0%～49%</t>
    <phoneticPr fontId="22"/>
  </si>
  <si>
    <t>0%～74%</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</si>
</sst>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ＭＳ Ｐゴシック"/>
      <charset val="134"/>
      <scheme val="minor"/>
    </font>
    <font>
      <sz val="12"/>
      <color theme="1"/>
      <name val="ＭＳ Ｐゴシック"/>
      <family val="3"/>
      <charset val="128"/>
      <scheme val="minor"/>
    </font>
    <font>
      <sz val="11"/>
      <color theme="1"/>
      <name val="ＭＳ Ｐゴシック"/>
      <family val="3"/>
      <charset val="128"/>
      <scheme val="minor"/>
    </font>
    <font>
      <b/>
      <sz val="11"/>
      <color theme="1"/>
      <name val="游ゴシック"/>
      <family val="3"/>
      <charset val="128"/>
    </font>
    <font>
      <sz val="10"/>
      <color theme="1"/>
      <name val="ＭＳ Ｐゴシック"/>
      <family val="3"/>
      <charset val="128"/>
      <scheme val="minor"/>
    </font>
    <font>
      <sz val="9"/>
      <color theme="1"/>
      <name val="ＭＳ Ｐゴシック"/>
      <family val="3"/>
      <charset val="128"/>
      <scheme val="minor"/>
    </font>
    <font>
      <sz val="8"/>
      <color theme="1"/>
      <name val="ＭＳ Ｐゴシック"/>
      <family val="3"/>
      <charset val="128"/>
      <scheme val="minor"/>
    </font>
    <font>
      <sz val="11"/>
      <name val="ＭＳ Ｐゴシック"/>
      <family val="3"/>
      <charset val="128"/>
      <scheme val="minor"/>
    </font>
    <font>
      <sz val="12"/>
      <name val="ＭＳ Ｐゴシック"/>
      <family val="3"/>
      <charset val="128"/>
      <scheme val="minor"/>
    </font>
    <font>
      <sz val="14"/>
      <color theme="1"/>
      <name val="ＭＳ Ｐゴシック"/>
      <family val="3"/>
      <charset val="128"/>
      <scheme val="minor"/>
    </font>
    <font>
      <sz val="16"/>
      <name val="ＭＳ Ｐゴシック"/>
      <family val="3"/>
      <charset val="128"/>
      <scheme val="minor"/>
    </font>
    <font>
      <b/>
      <sz val="16"/>
      <name val="ＭＳ Ｐゴシック"/>
      <family val="3"/>
      <charset val="128"/>
      <scheme val="minor"/>
    </font>
    <font>
      <b/>
      <sz val="16"/>
      <color theme="1"/>
      <name val="ＭＳ Ｐゴシック"/>
      <family val="3"/>
      <charset val="128"/>
      <scheme val="minor"/>
    </font>
    <font>
      <sz val="7"/>
      <color theme="1"/>
      <name val="ＭＳ Ｐゴシック"/>
      <family val="3"/>
      <charset val="128"/>
      <scheme val="minor"/>
    </font>
    <font>
      <sz val="18"/>
      <name val="Arial"/>
      <family val="2"/>
    </font>
    <font>
      <sz val="11"/>
      <color rgb="FFFF0000"/>
      <name val="ＭＳ Ｐゴシック"/>
      <family val="3"/>
      <charset val="128"/>
      <scheme val="minor"/>
    </font>
    <font>
      <b/>
      <sz val="11"/>
      <color theme="1"/>
      <name val="ＭＳ Ｐゴシック"/>
      <family val="3"/>
      <charset val="128"/>
      <scheme val="minor"/>
    </font>
    <font>
      <sz val="10"/>
      <name val="ＭＳ Ｐゴシック"/>
      <family val="3"/>
      <charset val="128"/>
      <scheme val="minor"/>
    </font>
    <font>
      <sz val="9"/>
      <name val="ＭＳ Ｐゴシック"/>
      <family val="3"/>
      <charset val="128"/>
      <scheme val="minor"/>
    </font>
    <font>
      <b/>
      <sz val="12"/>
      <color theme="1"/>
      <name val="ＭＳ Ｐゴシック"/>
      <family val="3"/>
      <charset val="128"/>
      <scheme val="minor"/>
    </font>
    <font>
      <sz val="13"/>
      <color theme="1"/>
      <name val="ＭＳ Ｐゴシック"/>
      <family val="3"/>
      <charset val="128"/>
      <scheme val="minor"/>
    </font>
    <font>
      <sz val="9"/>
      <color rgb="FFFF0000"/>
      <name val="ＭＳ Ｐゴシック"/>
      <family val="3"/>
      <charset val="128"/>
      <scheme val="minor"/>
    </font>
    <font>
      <sz val="6"/>
      <name val="ＭＳ Ｐゴシック"/>
      <family val="3"/>
      <charset val="128"/>
      <scheme val="minor"/>
    </font>
    <font>
      <sz val="16"/>
      <name val="ＭＳ Ｐゴシック"/>
      <family val="3"/>
      <charset val="128"/>
      <scheme val="minor"/>
    </font>
    <font>
      <sz val="11"/>
      <color theme="1"/>
      <name val="ＭＳ Ｐゴシック"/>
      <family val="3"/>
      <charset val="128"/>
      <scheme val="minor"/>
    </font>
    <font>
      <sz val="16"/>
      <color theme="1"/>
      <name val="ＭＳ Ｐゴシック"/>
      <family val="3"/>
      <charset val="128"/>
      <scheme val="minor"/>
    </font>
  </fonts>
  <fills count="8">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00"/>
        <bgColor rgb="FFFFFF00"/>
      </patternFill>
    </fill>
    <fill>
      <patternFill patternType="solid">
        <fgColor rgb="FFF2F2F2"/>
        <bgColor rgb="FFF2F2F2"/>
      </patternFill>
    </fill>
    <fill>
      <patternFill patternType="solid">
        <fgColor theme="0"/>
        <bgColor indexed="64"/>
      </patternFill>
    </fill>
    <fill>
      <patternFill patternType="solid">
        <fgColor theme="0"/>
        <bgColor rgb="FFFFFF00"/>
      </patternFill>
    </fill>
  </fills>
  <borders count="110">
    <border>
      <left/>
      <right/>
      <top/>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medium">
        <color auto="1"/>
      </left>
      <right/>
      <top/>
      <bottom/>
      <diagonal/>
    </border>
    <border>
      <left/>
      <right style="thin">
        <color auto="1"/>
      </right>
      <top/>
      <bottom/>
      <diagonal/>
    </border>
    <border>
      <left style="thin">
        <color auto="1"/>
      </left>
      <right/>
      <top/>
      <bottom/>
      <diagonal/>
    </border>
    <border>
      <left/>
      <right/>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rgb="FF000000"/>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medium">
        <color auto="1"/>
      </right>
      <top/>
      <bottom style="thin">
        <color auto="1"/>
      </bottom>
      <diagonal/>
    </border>
    <border>
      <left style="medium">
        <color auto="1"/>
      </left>
      <right style="thin">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style="medium">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000000"/>
      </left>
      <right style="thin">
        <color rgb="FF000000"/>
      </right>
      <top/>
      <bottom/>
      <diagonal/>
    </border>
    <border>
      <left style="thin">
        <color auto="1"/>
      </left>
      <right/>
      <top style="medium">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auto="1"/>
      </left>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bottom/>
      <diagonal/>
    </border>
    <border>
      <left style="thin">
        <color auto="1"/>
      </left>
      <right style="medium">
        <color auto="1"/>
      </right>
      <top/>
      <bottom style="medium">
        <color auto="1"/>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right/>
      <top/>
      <bottom style="thin">
        <color rgb="FF000000"/>
      </bottom>
      <diagonal/>
    </border>
    <border>
      <left style="thin">
        <color rgb="FF000000"/>
      </left>
      <right/>
      <top style="thin">
        <color rgb="FF000000"/>
      </top>
      <bottom style="thin">
        <color auto="1"/>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style="thin">
        <color auto="1"/>
      </bottom>
      <diagonal/>
    </border>
    <border>
      <left/>
      <right style="medium">
        <color rgb="FF000000"/>
      </right>
      <top style="medium">
        <color rgb="FF000000"/>
      </top>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auto="1"/>
      </top>
      <bottom style="thin">
        <color rgb="FF000000"/>
      </bottom>
      <diagonal/>
    </border>
    <border>
      <left/>
      <right style="medium">
        <color auto="1"/>
      </right>
      <top style="medium">
        <color auto="1"/>
      </top>
      <bottom style="thin">
        <color rgb="FF000000"/>
      </bottom>
      <diagonal/>
    </border>
    <border>
      <left style="medium">
        <color auto="1"/>
      </left>
      <right/>
      <top style="medium">
        <color auto="1"/>
      </top>
      <bottom style="thin">
        <color rgb="FF000000"/>
      </bottom>
      <diagonal/>
    </border>
    <border>
      <left style="medium">
        <color rgb="FF000000"/>
      </left>
      <right/>
      <top style="thin">
        <color rgb="FF000000"/>
      </top>
      <bottom style="thin">
        <color rgb="FF000000"/>
      </bottom>
      <diagonal/>
    </border>
    <border>
      <left/>
      <right style="medium">
        <color auto="1"/>
      </right>
      <top style="thin">
        <color rgb="FF000000"/>
      </top>
      <bottom style="thin">
        <color rgb="FF000000"/>
      </bottom>
      <diagonal/>
    </border>
    <border>
      <left style="medium">
        <color auto="1"/>
      </left>
      <right/>
      <top style="thin">
        <color rgb="FF000000"/>
      </top>
      <bottom style="thin">
        <color rgb="FF000000"/>
      </bottom>
      <diagonal/>
    </border>
    <border>
      <left/>
      <right/>
      <top style="medium">
        <color auto="1"/>
      </top>
      <bottom style="thin">
        <color rgb="FF000000"/>
      </bottom>
      <diagonal/>
    </border>
    <border>
      <left/>
      <right/>
      <top style="thin">
        <color rgb="FF000000"/>
      </top>
      <bottom style="thin">
        <color rgb="FF000000"/>
      </bottom>
      <diagonal/>
    </border>
    <border>
      <left/>
      <right style="medium">
        <color rgb="FF000000"/>
      </right>
      <top/>
      <bottom style="thin">
        <color rgb="FF000000"/>
      </bottom>
      <diagonal/>
    </border>
    <border>
      <left/>
      <right/>
      <top style="medium">
        <color auto="1"/>
      </top>
      <bottom style="thin">
        <color auto="1"/>
      </bottom>
      <diagonal/>
    </border>
    <border>
      <left/>
      <right/>
      <top style="thin">
        <color auto="1"/>
      </top>
      <bottom style="thin">
        <color auto="1"/>
      </bottom>
      <diagonal/>
    </border>
    <border>
      <left style="thin">
        <color rgb="FF000000"/>
      </left>
      <right style="thin">
        <color rgb="FF000000"/>
      </right>
      <top style="medium">
        <color indexed="64"/>
      </top>
      <bottom/>
      <diagonal/>
    </border>
  </borders>
  <cellStyleXfs count="3">
    <xf numFmtId="0" fontId="0" fillId="0" borderId="0">
      <alignment vertical="center"/>
    </xf>
    <xf numFmtId="0" fontId="2" fillId="0" borderId="0">
      <alignment vertical="center"/>
    </xf>
    <xf numFmtId="9" fontId="2" fillId="0" borderId="0" applyFont="0" applyFill="0" applyBorder="0" applyAlignment="0" applyProtection="0">
      <alignment vertical="center"/>
    </xf>
  </cellStyleXfs>
  <cellXfs count="415">
    <xf numFmtId="0" fontId="0" fillId="0" borderId="0" xfId="0">
      <alignment vertical="center"/>
    </xf>
    <xf numFmtId="0" fontId="1" fillId="0" borderId="0" xfId="1" applyFont="1">
      <alignment vertical="center"/>
    </xf>
    <xf numFmtId="0" fontId="2" fillId="0" borderId="0" xfId="1">
      <alignment vertical="center"/>
    </xf>
    <xf numFmtId="0" fontId="1" fillId="0" borderId="8" xfId="1" applyFont="1" applyBorder="1">
      <alignment vertical="center"/>
    </xf>
    <xf numFmtId="0" fontId="0" fillId="0" borderId="1" xfId="0" applyBorder="1">
      <alignment vertical="center"/>
    </xf>
    <xf numFmtId="0" fontId="0" fillId="0" borderId="2" xfId="0" applyBorder="1">
      <alignment vertical="center"/>
    </xf>
    <xf numFmtId="0" fontId="7" fillId="0" borderId="2" xfId="1" applyFont="1" applyBorder="1" applyAlignment="1">
      <alignment vertical="top"/>
    </xf>
    <xf numFmtId="0" fontId="7" fillId="0" borderId="26" xfId="1" applyFont="1" applyBorder="1" applyAlignment="1">
      <alignment vertical="top"/>
    </xf>
    <xf numFmtId="0" fontId="0" fillId="0" borderId="5" xfId="0" applyBorder="1">
      <alignment vertical="center"/>
    </xf>
    <xf numFmtId="0" fontId="7" fillId="0" borderId="0" xfId="1" applyFont="1" applyAlignment="1">
      <alignment vertical="top"/>
    </xf>
    <xf numFmtId="0" fontId="7" fillId="0" borderId="27" xfId="1" applyFont="1" applyBorder="1" applyAlignment="1">
      <alignment vertical="top"/>
    </xf>
    <xf numFmtId="0" fontId="0" fillId="0" borderId="9" xfId="0" applyBorder="1">
      <alignment vertical="center"/>
    </xf>
    <xf numFmtId="0" fontId="0" fillId="0" borderId="8" xfId="0" applyBorder="1">
      <alignment vertical="center"/>
    </xf>
    <xf numFmtId="0" fontId="7" fillId="0" borderId="8" xfId="1" applyFont="1" applyBorder="1" applyAlignment="1">
      <alignment vertical="top"/>
    </xf>
    <xf numFmtId="0" fontId="7" fillId="0" borderId="28" xfId="1" applyFont="1" applyBorder="1" applyAlignment="1">
      <alignment vertical="top"/>
    </xf>
    <xf numFmtId="0" fontId="7" fillId="0" borderId="0" xfId="1" applyFont="1" applyAlignment="1">
      <alignment vertical="top" wrapText="1"/>
    </xf>
    <xf numFmtId="0" fontId="7" fillId="0" borderId="1" xfId="1" applyFont="1" applyBorder="1" applyAlignment="1">
      <alignment vertical="top"/>
    </xf>
    <xf numFmtId="0" fontId="7" fillId="0" borderId="2" xfId="1" applyFont="1" applyBorder="1" applyAlignment="1">
      <alignment vertical="top" wrapText="1"/>
    </xf>
    <xf numFmtId="0" fontId="7" fillId="0" borderId="5" xfId="1" applyFont="1" applyBorder="1" applyAlignment="1">
      <alignment vertical="top"/>
    </xf>
    <xf numFmtId="0" fontId="7" fillId="0" borderId="5" xfId="1" applyFont="1" applyBorder="1" applyAlignment="1">
      <alignment horizontal="left" vertical="top"/>
    </xf>
    <xf numFmtId="0" fontId="7" fillId="0" borderId="9" xfId="1" applyFont="1" applyBorder="1" applyAlignment="1">
      <alignment vertical="top"/>
    </xf>
    <xf numFmtId="0" fontId="7" fillId="0" borderId="8" xfId="1" applyFont="1" applyBorder="1" applyAlignment="1">
      <alignment vertical="top" wrapText="1"/>
    </xf>
    <xf numFmtId="0" fontId="7" fillId="0" borderId="26" xfId="1" applyFont="1" applyBorder="1" applyAlignment="1">
      <alignment vertical="top" wrapText="1"/>
    </xf>
    <xf numFmtId="0" fontId="7" fillId="0" borderId="27" xfId="1" applyFont="1" applyBorder="1" applyAlignment="1">
      <alignment vertical="top" wrapText="1"/>
    </xf>
    <xf numFmtId="0" fontId="7" fillId="0" borderId="28" xfId="1" applyFont="1" applyBorder="1" applyAlignment="1">
      <alignment vertical="top" wrapText="1"/>
    </xf>
    <xf numFmtId="0" fontId="14" fillId="0" borderId="0" xfId="1" applyFont="1" applyAlignment="1">
      <alignment vertical="top" wrapText="1"/>
    </xf>
    <xf numFmtId="0" fontId="15" fillId="0" borderId="0" xfId="0" applyFont="1">
      <alignment vertical="center"/>
    </xf>
    <xf numFmtId="0" fontId="2" fillId="0" borderId="0" xfId="0" applyFont="1">
      <alignment vertical="center"/>
    </xf>
    <xf numFmtId="0" fontId="2" fillId="0" borderId="72" xfId="0" applyFont="1" applyBorder="1">
      <alignment vertical="center"/>
    </xf>
    <xf numFmtId="0" fontId="1" fillId="0" borderId="0" xfId="0" applyFont="1">
      <alignment vertical="center"/>
    </xf>
    <xf numFmtId="0" fontId="2" fillId="0" borderId="77" xfId="0" applyFont="1" applyBorder="1">
      <alignment vertical="center"/>
    </xf>
    <xf numFmtId="0" fontId="1" fillId="0" borderId="72" xfId="0" applyFont="1" applyBorder="1">
      <alignment vertical="center"/>
    </xf>
    <xf numFmtId="0" fontId="1" fillId="0" borderId="77" xfId="0" applyFont="1" applyBorder="1">
      <alignment vertical="center"/>
    </xf>
    <xf numFmtId="0" fontId="1" fillId="0" borderId="92" xfId="0" applyFont="1" applyBorder="1">
      <alignment vertical="center"/>
    </xf>
    <xf numFmtId="0" fontId="5" fillId="0" borderId="0" xfId="0" applyFont="1" applyAlignment="1">
      <alignment vertical="center" wrapText="1"/>
    </xf>
    <xf numFmtId="0" fontId="13" fillId="0" borderId="5" xfId="1" applyFont="1" applyBorder="1" applyAlignment="1">
      <alignment horizontal="center" vertical="center" wrapText="1"/>
    </xf>
    <xf numFmtId="0" fontId="13" fillId="0" borderId="0" xfId="1" applyFont="1" applyAlignment="1">
      <alignment horizontal="center" vertical="center" wrapText="1"/>
    </xf>
    <xf numFmtId="0" fontId="13" fillId="0" borderId="27" xfId="1" applyFont="1" applyBorder="1" applyAlignment="1">
      <alignment horizontal="center" vertical="center" wrapText="1"/>
    </xf>
    <xf numFmtId="0" fontId="3" fillId="0" borderId="50" xfId="0" applyFont="1" applyBorder="1" applyAlignment="1">
      <alignment horizontal="center" vertical="center" textRotation="255"/>
    </xf>
    <xf numFmtId="0" fontId="7" fillId="0" borderId="47" xfId="0" applyFont="1" applyBorder="1">
      <alignment vertical="center"/>
    </xf>
    <xf numFmtId="0" fontId="7" fillId="0" borderId="49" xfId="0" applyFont="1" applyBorder="1">
      <alignment vertical="center"/>
    </xf>
    <xf numFmtId="0" fontId="20" fillId="0" borderId="51" xfId="0" applyFont="1" applyBorder="1" applyAlignment="1">
      <alignment horizontal="center" vertical="center" wrapText="1"/>
    </xf>
    <xf numFmtId="0" fontId="7" fillId="0" borderId="83" xfId="0" applyFont="1" applyBorder="1" applyAlignment="1">
      <alignment horizontal="center" vertical="center"/>
    </xf>
    <xf numFmtId="0" fontId="7" fillId="0" borderId="52" xfId="0" applyFont="1" applyBorder="1" applyAlignment="1">
      <alignment horizontal="center" vertical="center"/>
    </xf>
    <xf numFmtId="0" fontId="7" fillId="0" borderId="53" xfId="0" applyFont="1" applyBorder="1" applyAlignment="1">
      <alignment horizontal="center" vertical="center"/>
    </xf>
    <xf numFmtId="0" fontId="2" fillId="0" borderId="0" xfId="0" applyFont="1" applyAlignment="1">
      <alignment horizontal="center" vertical="center"/>
    </xf>
    <xf numFmtId="0" fontId="7" fillId="0" borderId="54" xfId="0" applyFont="1" applyBorder="1" applyAlignment="1">
      <alignment horizontal="center" vertical="center"/>
    </xf>
    <xf numFmtId="0" fontId="7" fillId="0" borderId="62" xfId="0" applyFont="1" applyBorder="1" applyAlignment="1">
      <alignment horizontal="center" vertical="center"/>
    </xf>
    <xf numFmtId="0" fontId="7" fillId="0" borderId="86" xfId="0" applyFont="1" applyBorder="1" applyAlignment="1">
      <alignment horizontal="center" vertical="center"/>
    </xf>
    <xf numFmtId="0" fontId="7" fillId="0" borderId="63" xfId="0" applyFont="1" applyBorder="1" applyAlignment="1">
      <alignment horizontal="center" vertical="center"/>
    </xf>
    <xf numFmtId="0" fontId="4" fillId="0" borderId="95" xfId="0" applyFont="1" applyBorder="1" applyAlignment="1">
      <alignment horizontal="left" vertical="center" wrapText="1"/>
    </xf>
    <xf numFmtId="0" fontId="17" fillId="0" borderId="95" xfId="0" applyFont="1" applyBorder="1">
      <alignment vertical="center"/>
    </xf>
    <xf numFmtId="0" fontId="2" fillId="6" borderId="95" xfId="0" applyFont="1" applyFill="1" applyBorder="1" applyAlignment="1">
      <alignment horizontal="left" vertical="center" wrapText="1"/>
    </xf>
    <xf numFmtId="0" fontId="7" fillId="6" borderId="97" xfId="0" applyFont="1" applyFill="1" applyBorder="1">
      <alignment vertical="center"/>
    </xf>
    <xf numFmtId="0" fontId="7" fillId="6" borderId="95" xfId="0" applyFont="1" applyFill="1" applyBorder="1">
      <alignment vertical="center"/>
    </xf>
    <xf numFmtId="0" fontId="9" fillId="0" borderId="60" xfId="0" applyFont="1" applyBorder="1" applyAlignment="1">
      <alignment horizontal="center" vertical="center"/>
    </xf>
    <xf numFmtId="0" fontId="7" fillId="0" borderId="61" xfId="0" applyFont="1" applyBorder="1">
      <alignment vertical="center"/>
    </xf>
    <xf numFmtId="0" fontId="9" fillId="0" borderId="50" xfId="0" applyFont="1" applyBorder="1" applyAlignment="1">
      <alignment horizontal="center" vertical="center"/>
    </xf>
    <xf numFmtId="49" fontId="1" fillId="0" borderId="58" xfId="0" applyNumberFormat="1" applyFont="1" applyBorder="1" applyAlignment="1">
      <alignment horizontal="center" vertical="center" shrinkToFit="1"/>
    </xf>
    <xf numFmtId="0" fontId="7" fillId="0" borderId="59" xfId="0" applyFont="1" applyBorder="1">
      <alignment vertical="center"/>
    </xf>
    <xf numFmtId="49" fontId="1" fillId="0" borderId="50" xfId="0" applyNumberFormat="1" applyFont="1" applyBorder="1" applyAlignment="1">
      <alignment horizontal="center" vertical="center" shrinkToFit="1"/>
    </xf>
    <xf numFmtId="0" fontId="3" fillId="6" borderId="47" xfId="0" applyFont="1" applyFill="1" applyBorder="1" applyAlignment="1">
      <alignment horizontal="center" vertical="center" textRotation="255"/>
    </xf>
    <xf numFmtId="0" fontId="7" fillId="6" borderId="47" xfId="0" applyFont="1" applyFill="1" applyBorder="1">
      <alignment vertical="center"/>
    </xf>
    <xf numFmtId="0" fontId="7" fillId="6" borderId="49" xfId="0" applyFont="1" applyFill="1" applyBorder="1">
      <alignment vertical="center"/>
    </xf>
    <xf numFmtId="0" fontId="5" fillId="0" borderId="95" xfId="0" applyFont="1" applyBorder="1" applyAlignment="1">
      <alignment horizontal="left" vertical="center" wrapText="1"/>
    </xf>
    <xf numFmtId="0" fontId="18" fillId="0" borderId="95" xfId="0" applyFont="1" applyBorder="1" applyAlignment="1">
      <alignment horizontal="left" vertical="center" wrapText="1"/>
    </xf>
    <xf numFmtId="9" fontId="2" fillId="0" borderId="84" xfId="1" applyNumberFormat="1" applyBorder="1" applyAlignment="1">
      <alignment horizontal="left" vertical="center" wrapText="1"/>
    </xf>
    <xf numFmtId="0" fontId="2" fillId="0" borderId="88" xfId="1" applyBorder="1" applyAlignment="1">
      <alignment horizontal="left" vertical="center" wrapText="1"/>
    </xf>
    <xf numFmtId="0" fontId="2" fillId="0" borderId="84" xfId="1" applyBorder="1" applyAlignment="1">
      <alignment horizontal="left" vertical="center" wrapText="1"/>
    </xf>
    <xf numFmtId="0" fontId="13" fillId="0" borderId="103" xfId="1" applyFont="1" applyBorder="1" applyAlignment="1">
      <alignment horizontal="center" vertical="center" wrapText="1"/>
    </xf>
    <xf numFmtId="0" fontId="13" fillId="0" borderId="105" xfId="1" applyFont="1" applyBorder="1" applyAlignment="1">
      <alignment horizontal="center" vertical="center" wrapText="1"/>
    </xf>
    <xf numFmtId="0" fontId="13" fillId="0" borderId="102" xfId="1" applyFont="1" applyBorder="1" applyAlignment="1">
      <alignment horizontal="center" vertical="center" wrapText="1"/>
    </xf>
    <xf numFmtId="0" fontId="9" fillId="0" borderId="70" xfId="0" applyFont="1" applyBorder="1" applyAlignment="1">
      <alignment horizontal="center" vertical="center"/>
    </xf>
    <xf numFmtId="0" fontId="7" fillId="0" borderId="69" xfId="0" applyFont="1" applyBorder="1">
      <alignment vertical="center"/>
    </xf>
    <xf numFmtId="0" fontId="9" fillId="0" borderId="101" xfId="1" applyFont="1" applyBorder="1" applyAlignment="1">
      <alignment horizontal="center" vertical="center"/>
    </xf>
    <xf numFmtId="0" fontId="9" fillId="0" borderId="102" xfId="1" applyFont="1" applyBorder="1" applyAlignment="1">
      <alignment horizontal="center" vertical="center"/>
    </xf>
    <xf numFmtId="9" fontId="10" fillId="0" borderId="103" xfId="2" applyFont="1" applyBorder="1" applyAlignment="1">
      <alignment horizontal="center" vertical="center" wrapText="1"/>
    </xf>
    <xf numFmtId="9" fontId="10" fillId="0" borderId="102" xfId="2" applyFont="1" applyBorder="1" applyAlignment="1">
      <alignment horizontal="center" vertical="center" wrapText="1"/>
    </xf>
    <xf numFmtId="0" fontId="11" fillId="0" borderId="105" xfId="1" applyFont="1" applyBorder="1" applyAlignment="1">
      <alignment horizontal="center" vertical="center" wrapText="1"/>
    </xf>
    <xf numFmtId="0" fontId="9" fillId="0" borderId="51" xfId="0" applyFont="1" applyBorder="1" applyAlignment="1">
      <alignment horizontal="center" vertical="center"/>
    </xf>
    <xf numFmtId="0" fontId="7" fillId="0" borderId="62" xfId="0" applyFont="1" applyBorder="1">
      <alignment vertical="center"/>
    </xf>
    <xf numFmtId="0" fontId="9" fillId="0" borderId="52" xfId="0" applyFont="1" applyBorder="1" applyAlignment="1">
      <alignment horizontal="center" vertical="center"/>
    </xf>
    <xf numFmtId="0" fontId="7" fillId="0" borderId="63" xfId="0" applyFont="1" applyBorder="1">
      <alignment vertical="center"/>
    </xf>
    <xf numFmtId="0" fontId="9" fillId="4" borderId="50" xfId="0" applyFont="1" applyFill="1" applyBorder="1" applyAlignment="1">
      <alignment horizontal="center" vertical="center"/>
    </xf>
    <xf numFmtId="0" fontId="1" fillId="7" borderId="49" xfId="0" applyFont="1" applyFill="1" applyBorder="1" applyAlignment="1">
      <alignment horizontal="center" vertical="center" wrapText="1" shrinkToFit="1"/>
    </xf>
    <xf numFmtId="49" fontId="1" fillId="4" borderId="50" xfId="0" applyNumberFormat="1" applyFont="1" applyFill="1" applyBorder="1" applyAlignment="1">
      <alignment horizontal="center" vertical="center" shrinkToFit="1"/>
    </xf>
    <xf numFmtId="0" fontId="9" fillId="0" borderId="47" xfId="0" applyFont="1" applyBorder="1" applyAlignment="1">
      <alignment horizontal="center" vertical="center"/>
    </xf>
    <xf numFmtId="0" fontId="9" fillId="0" borderId="68" xfId="0" applyFont="1" applyBorder="1" applyAlignment="1">
      <alignment horizontal="center" vertical="center"/>
    </xf>
    <xf numFmtId="49" fontId="1" fillId="0" borderId="68" xfId="0" applyNumberFormat="1" applyFont="1" applyBorder="1" applyAlignment="1">
      <alignment horizontal="center" vertical="center" shrinkToFit="1"/>
    </xf>
    <xf numFmtId="9" fontId="10" fillId="0" borderId="100" xfId="2" applyFont="1" applyBorder="1" applyAlignment="1">
      <alignment horizontal="center" vertical="center" wrapText="1"/>
    </xf>
    <xf numFmtId="9" fontId="10" fillId="0" borderId="99" xfId="2" applyFont="1" applyBorder="1" applyAlignment="1">
      <alignment horizontal="center" vertical="center" wrapText="1"/>
    </xf>
    <xf numFmtId="0" fontId="11" fillId="0" borderId="104" xfId="1" applyFont="1" applyBorder="1" applyAlignment="1">
      <alignment horizontal="center" vertical="center" wrapText="1"/>
    </xf>
    <xf numFmtId="0" fontId="1" fillId="0" borderId="50" xfId="0" applyFont="1" applyBorder="1" applyAlignment="1">
      <alignment horizontal="center" vertical="center" shrinkToFit="1"/>
    </xf>
    <xf numFmtId="0" fontId="1" fillId="0" borderId="68" xfId="0" applyFont="1" applyBorder="1" applyAlignment="1">
      <alignment horizontal="center" vertical="center" shrinkToFit="1"/>
    </xf>
    <xf numFmtId="9" fontId="1" fillId="4" borderId="50" xfId="0" applyNumberFormat="1" applyFont="1" applyFill="1" applyBorder="1" applyAlignment="1">
      <alignment horizontal="center" vertical="center" shrinkToFit="1"/>
    </xf>
    <xf numFmtId="0" fontId="1" fillId="2" borderId="40" xfId="1" applyFont="1" applyFill="1" applyBorder="1" applyAlignment="1">
      <alignment horizontal="center" vertical="center" wrapText="1"/>
    </xf>
    <xf numFmtId="0" fontId="1" fillId="2" borderId="41" xfId="1" applyFont="1" applyFill="1" applyBorder="1" applyAlignment="1">
      <alignment horizontal="center" vertical="center" wrapText="1"/>
    </xf>
    <xf numFmtId="0" fontId="1" fillId="2" borderId="42" xfId="1" applyFont="1" applyFill="1" applyBorder="1" applyAlignment="1">
      <alignment horizontal="center" vertical="center" wrapText="1"/>
    </xf>
    <xf numFmtId="0" fontId="1" fillId="2" borderId="40" xfId="1" applyFont="1" applyFill="1" applyBorder="1" applyAlignment="1">
      <alignment horizontal="center" vertical="center"/>
    </xf>
    <xf numFmtId="0" fontId="1" fillId="2" borderId="41" xfId="1" applyFont="1" applyFill="1" applyBorder="1" applyAlignment="1">
      <alignment horizontal="center" vertical="center"/>
    </xf>
    <xf numFmtId="0" fontId="1" fillId="2" borderId="42" xfId="1" applyFont="1" applyFill="1" applyBorder="1" applyAlignment="1">
      <alignment horizontal="center" vertical="center"/>
    </xf>
    <xf numFmtId="0" fontId="1" fillId="2" borderId="1" xfId="1" applyFont="1" applyFill="1" applyBorder="1" applyAlignment="1">
      <alignment horizontal="center" vertical="center" wrapText="1"/>
    </xf>
    <xf numFmtId="0" fontId="1" fillId="2" borderId="2" xfId="1" applyFont="1" applyFill="1" applyBorder="1" applyAlignment="1">
      <alignment horizontal="center" vertical="center" wrapText="1"/>
    </xf>
    <xf numFmtId="0" fontId="1" fillId="2" borderId="26" xfId="1" applyFont="1" applyFill="1" applyBorder="1" applyAlignment="1">
      <alignment horizontal="center" vertical="center" wrapText="1"/>
    </xf>
    <xf numFmtId="0" fontId="1" fillId="2" borderId="5" xfId="1" applyFont="1" applyFill="1" applyBorder="1" applyAlignment="1">
      <alignment horizontal="center" vertical="center" wrapText="1"/>
    </xf>
    <xf numFmtId="0" fontId="1" fillId="2" borderId="0" xfId="1" applyFont="1" applyFill="1" applyAlignment="1">
      <alignment horizontal="center" vertical="center" wrapText="1"/>
    </xf>
    <xf numFmtId="0" fontId="1" fillId="2" borderId="27" xfId="1" applyFont="1" applyFill="1" applyBorder="1" applyAlignment="1">
      <alignment horizontal="center" vertical="center" wrapText="1"/>
    </xf>
    <xf numFmtId="0" fontId="1" fillId="2" borderId="9" xfId="1" applyFont="1" applyFill="1" applyBorder="1" applyAlignment="1">
      <alignment horizontal="center" vertical="center" wrapText="1"/>
    </xf>
    <xf numFmtId="0" fontId="1" fillId="2" borderId="8" xfId="1" applyFont="1" applyFill="1" applyBorder="1" applyAlignment="1">
      <alignment horizontal="center" vertical="center" wrapText="1"/>
    </xf>
    <xf numFmtId="0" fontId="1" fillId="2" borderId="28" xfId="1" applyFont="1" applyFill="1" applyBorder="1" applyAlignment="1">
      <alignment horizontal="center" vertical="center" wrapText="1"/>
    </xf>
    <xf numFmtId="0" fontId="8" fillId="2" borderId="40" xfId="1" applyFont="1" applyFill="1" applyBorder="1" applyAlignment="1">
      <alignment horizontal="center" vertical="center" wrapText="1"/>
    </xf>
    <xf numFmtId="0" fontId="8" fillId="2" borderId="40" xfId="1" applyFont="1" applyFill="1" applyBorder="1" applyAlignment="1">
      <alignment horizontal="center" vertical="center"/>
    </xf>
    <xf numFmtId="0" fontId="8" fillId="2" borderId="41" xfId="1" applyFont="1" applyFill="1" applyBorder="1" applyAlignment="1">
      <alignment horizontal="center" vertical="center"/>
    </xf>
    <xf numFmtId="0" fontId="8" fillId="2" borderId="42" xfId="1" applyFont="1" applyFill="1" applyBorder="1" applyAlignment="1">
      <alignment horizontal="center" vertical="center"/>
    </xf>
    <xf numFmtId="0" fontId="1" fillId="2" borderId="40" xfId="1" applyFont="1" applyFill="1" applyBorder="1" applyAlignment="1">
      <alignment horizontal="center" vertical="center" shrinkToFit="1"/>
    </xf>
    <xf numFmtId="0" fontId="1" fillId="2" borderId="41" xfId="1" applyFont="1" applyFill="1" applyBorder="1" applyAlignment="1">
      <alignment horizontal="center" vertical="center" shrinkToFit="1"/>
    </xf>
    <xf numFmtId="0" fontId="1" fillId="2" borderId="42" xfId="1" applyFont="1" applyFill="1" applyBorder="1" applyAlignment="1">
      <alignment horizontal="center" vertical="center" shrinkToFit="1"/>
    </xf>
    <xf numFmtId="0" fontId="20" fillId="0" borderId="51" xfId="0" applyFont="1" applyBorder="1" applyAlignment="1">
      <alignment horizontal="left" vertical="center" wrapText="1"/>
    </xf>
    <xf numFmtId="0" fontId="7" fillId="0" borderId="83" xfId="0" applyFont="1" applyBorder="1">
      <alignment vertical="center"/>
    </xf>
    <xf numFmtId="0" fontId="7" fillId="0" borderId="52" xfId="0" applyFont="1" applyBorder="1">
      <alignment vertical="center"/>
    </xf>
    <xf numFmtId="0" fontId="7" fillId="0" borderId="53" xfId="0" applyFont="1" applyBorder="1">
      <alignment vertical="center"/>
    </xf>
    <xf numFmtId="0" fontId="2" fillId="0" borderId="0" xfId="0" applyFont="1">
      <alignment vertical="center"/>
    </xf>
    <xf numFmtId="0" fontId="7" fillId="0" borderId="54" xfId="0" applyFont="1" applyBorder="1">
      <alignment vertical="center"/>
    </xf>
    <xf numFmtId="0" fontId="7" fillId="0" borderId="86" xfId="0" applyFont="1" applyBorder="1">
      <alignment vertical="center"/>
    </xf>
    <xf numFmtId="0" fontId="21" fillId="0" borderId="95" xfId="0" applyFont="1" applyBorder="1" applyAlignment="1">
      <alignment horizontal="left" vertical="top" wrapText="1"/>
    </xf>
    <xf numFmtId="0" fontId="21" fillId="0" borderId="95" xfId="0" applyFont="1" applyBorder="1" applyAlignment="1">
      <alignment vertical="top"/>
    </xf>
    <xf numFmtId="0" fontId="12" fillId="0" borderId="100" xfId="1" applyFont="1" applyBorder="1" applyAlignment="1">
      <alignment horizontal="center" vertical="center"/>
    </xf>
    <xf numFmtId="0" fontId="12" fillId="0" borderId="99" xfId="1" applyFont="1" applyBorder="1" applyAlignment="1">
      <alignment horizontal="center" vertical="center"/>
    </xf>
    <xf numFmtId="0" fontId="12" fillId="0" borderId="103" xfId="1" applyFont="1" applyBorder="1" applyAlignment="1">
      <alignment horizontal="center" vertical="center"/>
    </xf>
    <xf numFmtId="0" fontId="12" fillId="0" borderId="102" xfId="1" applyFont="1" applyBorder="1" applyAlignment="1">
      <alignment horizontal="center" vertical="center"/>
    </xf>
    <xf numFmtId="0" fontId="13" fillId="0" borderId="100" xfId="1" applyFont="1" applyBorder="1" applyAlignment="1">
      <alignment horizontal="center" vertical="center" wrapText="1"/>
    </xf>
    <xf numFmtId="0" fontId="13" fillId="0" borderId="104" xfId="1" applyFont="1" applyBorder="1" applyAlignment="1">
      <alignment horizontal="center" vertical="center" wrapText="1"/>
    </xf>
    <xf numFmtId="0" fontId="13" fillId="0" borderId="99" xfId="1" applyFont="1" applyBorder="1" applyAlignment="1">
      <alignment horizontal="center" vertical="center" wrapText="1"/>
    </xf>
    <xf numFmtId="0" fontId="9" fillId="0" borderId="98" xfId="1" applyFont="1" applyBorder="1" applyAlignment="1">
      <alignment horizontal="center" vertical="center"/>
    </xf>
    <xf numFmtId="0" fontId="9" fillId="0" borderId="99" xfId="1" applyFont="1" applyBorder="1" applyAlignment="1">
      <alignment horizontal="center" vertical="center"/>
    </xf>
    <xf numFmtId="0" fontId="19" fillId="0" borderId="85" xfId="0" applyFont="1" applyBorder="1" applyAlignment="1">
      <alignment horizontal="center" vertical="center" textRotation="255"/>
    </xf>
    <xf numFmtId="0" fontId="8" fillId="0" borderId="85" xfId="0" applyFont="1" applyBorder="1">
      <alignment vertical="center"/>
    </xf>
    <xf numFmtId="0" fontId="3" fillId="0" borderId="47" xfId="0" applyFont="1" applyBorder="1" applyAlignment="1">
      <alignment horizontal="center" vertical="center" textRotation="255"/>
    </xf>
    <xf numFmtId="0" fontId="5" fillId="0" borderId="51" xfId="0" applyFont="1" applyBorder="1" applyAlignment="1">
      <alignment vertical="top" wrapText="1"/>
    </xf>
    <xf numFmtId="0" fontId="18" fillId="0" borderId="83" xfId="0" applyFont="1" applyBorder="1" applyAlignment="1">
      <alignment vertical="top"/>
    </xf>
    <xf numFmtId="0" fontId="18" fillId="0" borderId="52" xfId="0" applyFont="1" applyBorder="1" applyAlignment="1">
      <alignment vertical="top"/>
    </xf>
    <xf numFmtId="0" fontId="18" fillId="0" borderId="53" xfId="0" applyFont="1" applyBorder="1" applyAlignment="1">
      <alignment vertical="top"/>
    </xf>
    <xf numFmtId="0" fontId="5" fillId="0" borderId="0" xfId="0" applyFont="1" applyAlignment="1">
      <alignment vertical="top"/>
    </xf>
    <xf numFmtId="0" fontId="18" fillId="0" borderId="54" xfId="0" applyFont="1" applyBorder="1" applyAlignment="1">
      <alignment vertical="top"/>
    </xf>
    <xf numFmtId="0" fontId="18" fillId="0" borderId="62" xfId="0" applyFont="1" applyBorder="1" applyAlignment="1">
      <alignment vertical="top"/>
    </xf>
    <xf numFmtId="0" fontId="18" fillId="0" borderId="86" xfId="0" applyFont="1" applyBorder="1" applyAlignment="1">
      <alignment vertical="top"/>
    </xf>
    <xf numFmtId="0" fontId="18" fillId="0" borderId="63" xfId="0" applyFont="1" applyBorder="1" applyAlignment="1">
      <alignment vertical="top"/>
    </xf>
    <xf numFmtId="0" fontId="5" fillId="0" borderId="93" xfId="0" applyFont="1" applyBorder="1" applyAlignment="1">
      <alignment horizontal="left" vertical="center" wrapText="1"/>
    </xf>
    <xf numFmtId="0" fontId="18" fillId="0" borderId="93" xfId="0" applyFont="1" applyBorder="1">
      <alignment vertical="center"/>
    </xf>
    <xf numFmtId="0" fontId="18" fillId="0" borderId="95" xfId="0" applyFont="1" applyBorder="1">
      <alignment vertical="center"/>
    </xf>
    <xf numFmtId="9" fontId="2" fillId="0" borderId="94" xfId="1" applyNumberFormat="1" applyBorder="1" applyAlignment="1">
      <alignment horizontal="left" vertical="center" wrapText="1"/>
    </xf>
    <xf numFmtId="0" fontId="2" fillId="0" borderId="96" xfId="1" applyBorder="1" applyAlignment="1">
      <alignment horizontal="left" vertical="center" wrapText="1"/>
    </xf>
    <xf numFmtId="0" fontId="9" fillId="0" borderId="82" xfId="0" applyFont="1" applyBorder="1" applyAlignment="1">
      <alignment horizontal="center" vertical="center"/>
    </xf>
    <xf numFmtId="0" fontId="1" fillId="5" borderId="73" xfId="0" applyFont="1" applyFill="1" applyBorder="1" applyAlignment="1">
      <alignment horizontal="center" vertical="center"/>
    </xf>
    <xf numFmtId="0" fontId="8" fillId="0" borderId="74" xfId="0" applyFont="1" applyBorder="1">
      <alignment vertical="center"/>
    </xf>
    <xf numFmtId="0" fontId="8" fillId="0" borderId="75" xfId="0" applyFont="1" applyBorder="1">
      <alignment vertical="center"/>
    </xf>
    <xf numFmtId="0" fontId="8" fillId="0" borderId="60" xfId="0" applyFont="1" applyBorder="1">
      <alignment vertical="center"/>
    </xf>
    <xf numFmtId="0" fontId="1" fillId="0" borderId="0" xfId="0" applyFont="1">
      <alignment vertical="center"/>
    </xf>
    <xf numFmtId="0" fontId="8" fillId="0" borderId="54" xfId="0" applyFont="1" applyBorder="1">
      <alignment vertical="center"/>
    </xf>
    <xf numFmtId="0" fontId="8" fillId="0" borderId="78" xfId="0" applyFont="1" applyBorder="1">
      <alignment vertical="center"/>
    </xf>
    <xf numFmtId="0" fontId="8" fillId="0" borderId="77" xfId="0" applyFont="1" applyBorder="1">
      <alignment vertical="center"/>
    </xf>
    <xf numFmtId="0" fontId="8" fillId="0" borderId="79" xfId="0" applyFont="1" applyBorder="1">
      <alignment vertical="center"/>
    </xf>
    <xf numFmtId="0" fontId="1" fillId="5" borderId="76" xfId="0" applyFont="1" applyFill="1" applyBorder="1" applyAlignment="1">
      <alignment horizontal="center" vertical="center" wrapText="1"/>
    </xf>
    <xf numFmtId="0" fontId="8" fillId="0" borderId="53" xfId="0" applyFont="1" applyBorder="1">
      <alignment vertical="center"/>
    </xf>
    <xf numFmtId="0" fontId="8" fillId="0" borderId="0" xfId="0" applyFont="1">
      <alignment vertical="center"/>
    </xf>
    <xf numFmtId="0" fontId="8" fillId="0" borderId="91" xfId="0" applyFont="1" applyBorder="1">
      <alignment vertical="center"/>
    </xf>
    <xf numFmtId="0" fontId="8" fillId="0" borderId="72" xfId="0" applyFont="1" applyBorder="1">
      <alignment vertical="center"/>
    </xf>
    <xf numFmtId="0" fontId="8" fillId="0" borderId="92" xfId="0" applyFont="1" applyBorder="1">
      <alignment vertical="center"/>
    </xf>
    <xf numFmtId="0" fontId="9" fillId="4" borderId="47" xfId="0" applyFont="1" applyFill="1" applyBorder="1" applyAlignment="1">
      <alignment horizontal="center" vertical="center"/>
    </xf>
    <xf numFmtId="0" fontId="1" fillId="7" borderId="69" xfId="0" applyFont="1" applyFill="1" applyBorder="1" applyAlignment="1">
      <alignment horizontal="center" vertical="center" shrinkToFit="1"/>
    </xf>
    <xf numFmtId="0" fontId="25" fillId="0" borderId="0" xfId="1" applyFont="1" applyAlignment="1">
      <alignment horizontal="center" vertical="center"/>
    </xf>
    <xf numFmtId="0" fontId="25" fillId="0" borderId="72" xfId="1" applyFont="1" applyBorder="1" applyAlignment="1">
      <alignment horizontal="center" vertical="center"/>
    </xf>
    <xf numFmtId="0" fontId="9" fillId="0" borderId="0" xfId="1" applyFont="1" applyAlignment="1">
      <alignment horizontal="center" vertical="center"/>
    </xf>
    <xf numFmtId="0" fontId="9" fillId="0" borderId="72" xfId="1" applyFont="1" applyBorder="1" applyAlignment="1">
      <alignment horizontal="center" vertical="center"/>
    </xf>
    <xf numFmtId="0" fontId="13" fillId="0" borderId="1" xfId="1" applyFont="1" applyBorder="1" applyAlignment="1">
      <alignment horizontal="center" vertical="center" wrapText="1"/>
    </xf>
    <xf numFmtId="0" fontId="13" fillId="0" borderId="2" xfId="1" applyFont="1" applyBorder="1" applyAlignment="1">
      <alignment horizontal="center" vertical="center" wrapText="1"/>
    </xf>
    <xf numFmtId="0" fontId="13" fillId="0" borderId="26" xfId="1" applyFont="1" applyBorder="1" applyAlignment="1">
      <alignment horizontal="center" vertical="center" wrapText="1"/>
    </xf>
    <xf numFmtId="0" fontId="13" fillId="0" borderId="5" xfId="1" applyFont="1" applyBorder="1" applyAlignment="1">
      <alignment horizontal="center" vertical="center" wrapText="1"/>
    </xf>
    <xf numFmtId="0" fontId="13" fillId="0" borderId="0" xfId="1" applyFont="1" applyAlignment="1">
      <alignment horizontal="center" vertical="center" wrapText="1"/>
    </xf>
    <xf numFmtId="0" fontId="13" fillId="0" borderId="27" xfId="1" applyFont="1" applyBorder="1" applyAlignment="1">
      <alignment horizontal="center" vertical="center" wrapText="1"/>
    </xf>
    <xf numFmtId="0" fontId="13" fillId="0" borderId="9" xfId="1" applyFont="1" applyBorder="1" applyAlignment="1">
      <alignment horizontal="center" vertical="center" wrapText="1"/>
    </xf>
    <xf numFmtId="0" fontId="13" fillId="0" borderId="8" xfId="1" applyFont="1" applyBorder="1" applyAlignment="1">
      <alignment horizontal="center" vertical="center" wrapText="1"/>
    </xf>
    <xf numFmtId="0" fontId="13" fillId="0" borderId="28" xfId="1" applyFont="1" applyBorder="1" applyAlignment="1">
      <alignment horizontal="center" vertical="center" wrapText="1"/>
    </xf>
    <xf numFmtId="0" fontId="9" fillId="0" borderId="38" xfId="1" applyFont="1" applyBorder="1" applyAlignment="1">
      <alignment horizontal="center" vertical="center"/>
    </xf>
    <xf numFmtId="0" fontId="9" fillId="0" borderId="44" xfId="1" applyFont="1" applyBorder="1" applyAlignment="1">
      <alignment horizontal="center" vertical="center"/>
    </xf>
    <xf numFmtId="0" fontId="9" fillId="0" borderId="5" xfId="1" applyFont="1" applyBorder="1" applyAlignment="1">
      <alignment horizontal="center" vertical="center"/>
    </xf>
    <xf numFmtId="0" fontId="9" fillId="0" borderId="27" xfId="1" applyFont="1" applyBorder="1" applyAlignment="1">
      <alignment horizontal="center" vertical="center"/>
    </xf>
    <xf numFmtId="0" fontId="9" fillId="0" borderId="9" xfId="1" applyFont="1" applyBorder="1" applyAlignment="1">
      <alignment horizontal="center" vertical="center"/>
    </xf>
    <xf numFmtId="0" fontId="9" fillId="0" borderId="28" xfId="1" applyFont="1" applyBorder="1" applyAlignment="1">
      <alignment horizontal="center" vertical="center"/>
    </xf>
    <xf numFmtId="9" fontId="10" fillId="0" borderId="38" xfId="2" applyFont="1" applyBorder="1" applyAlignment="1">
      <alignment horizontal="center" vertical="center" wrapText="1"/>
    </xf>
    <xf numFmtId="9" fontId="10" fillId="0" borderId="44" xfId="2" applyFont="1" applyBorder="1" applyAlignment="1">
      <alignment horizontal="center" vertical="center" wrapText="1"/>
    </xf>
    <xf numFmtId="9" fontId="10" fillId="0" borderId="5" xfId="2" applyFont="1" applyBorder="1" applyAlignment="1">
      <alignment horizontal="center" vertical="center" wrapText="1"/>
    </xf>
    <xf numFmtId="9" fontId="10" fillId="0" borderId="27" xfId="2" applyFont="1" applyBorder="1" applyAlignment="1">
      <alignment horizontal="center" vertical="center" wrapText="1"/>
    </xf>
    <xf numFmtId="9" fontId="10" fillId="0" borderId="9" xfId="2" applyFont="1" applyBorder="1" applyAlignment="1">
      <alignment horizontal="center" vertical="center" wrapText="1"/>
    </xf>
    <xf numFmtId="9" fontId="10" fillId="0" borderId="28" xfId="2" applyFont="1" applyBorder="1" applyAlignment="1">
      <alignment horizontal="center" vertical="center" wrapText="1"/>
    </xf>
    <xf numFmtId="0" fontId="11" fillId="0" borderId="0" xfId="1" applyFont="1" applyAlignment="1">
      <alignment horizontal="center" vertical="center" wrapText="1"/>
    </xf>
    <xf numFmtId="0" fontId="11" fillId="0" borderId="8" xfId="1" applyFont="1" applyBorder="1" applyAlignment="1">
      <alignment horizontal="center" vertical="center" wrapText="1"/>
    </xf>
    <xf numFmtId="0" fontId="9" fillId="3" borderId="50" xfId="0" applyFont="1" applyFill="1" applyBorder="1" applyAlignment="1">
      <alignment horizontal="center" vertical="center"/>
    </xf>
    <xf numFmtId="0" fontId="7" fillId="3" borderId="49" xfId="0" applyFont="1" applyFill="1" applyBorder="1">
      <alignment vertical="center"/>
    </xf>
    <xf numFmtId="0" fontId="16" fillId="0" borderId="50" xfId="0" applyFont="1" applyBorder="1" applyAlignment="1">
      <alignment horizontal="center" vertical="center" textRotation="255"/>
    </xf>
    <xf numFmtId="0" fontId="4" fillId="0" borderId="51" xfId="0" applyFont="1" applyBorder="1" applyAlignment="1">
      <alignment horizontal="left" vertical="center" wrapText="1"/>
    </xf>
    <xf numFmtId="0" fontId="17" fillId="0" borderId="83" xfId="0" applyFont="1" applyBorder="1" applyAlignment="1">
      <alignment horizontal="left" vertical="center" wrapText="1"/>
    </xf>
    <xf numFmtId="0" fontId="17" fillId="0" borderId="52" xfId="0" applyFont="1" applyBorder="1" applyAlignment="1">
      <alignment horizontal="left" vertical="center" wrapText="1"/>
    </xf>
    <xf numFmtId="0" fontId="17" fillId="0" borderId="53" xfId="0" applyFont="1" applyBorder="1" applyAlignment="1">
      <alignment horizontal="left" vertical="center" wrapText="1"/>
    </xf>
    <xf numFmtId="0" fontId="4" fillId="0" borderId="0" xfId="0" applyFont="1" applyAlignment="1">
      <alignment horizontal="left" vertical="center" wrapText="1"/>
    </xf>
    <xf numFmtId="0" fontId="17" fillId="0" borderId="54" xfId="0" applyFont="1" applyBorder="1" applyAlignment="1">
      <alignment horizontal="left" vertical="center" wrapText="1"/>
    </xf>
    <xf numFmtId="0" fontId="17" fillId="0" borderId="62" xfId="0" applyFont="1" applyBorder="1" applyAlignment="1">
      <alignment horizontal="left" vertical="center" wrapText="1"/>
    </xf>
    <xf numFmtId="0" fontId="17" fillId="0" borderId="86" xfId="0" applyFont="1" applyBorder="1" applyAlignment="1">
      <alignment horizontal="left" vertical="center" wrapText="1"/>
    </xf>
    <xf numFmtId="0" fontId="17" fillId="0" borderId="63" xfId="0" applyFont="1" applyBorder="1" applyAlignment="1">
      <alignment horizontal="left" vertical="center" wrapText="1"/>
    </xf>
    <xf numFmtId="0" fontId="2" fillId="0" borderId="51" xfId="0" applyFont="1" applyBorder="1" applyAlignment="1">
      <alignment horizontal="left" vertical="center" wrapText="1"/>
    </xf>
    <xf numFmtId="0" fontId="2" fillId="0" borderId="87" xfId="1" applyBorder="1" applyAlignment="1">
      <alignment horizontal="left" vertical="center" wrapText="1"/>
    </xf>
    <xf numFmtId="0" fontId="2" fillId="0" borderId="90" xfId="1" applyBorder="1" applyAlignment="1">
      <alignment horizontal="left" vertical="center" wrapText="1"/>
    </xf>
    <xf numFmtId="0" fontId="9" fillId="0" borderId="89" xfId="0" applyFont="1" applyBorder="1" applyAlignment="1">
      <alignment horizontal="center" vertical="center"/>
    </xf>
    <xf numFmtId="0" fontId="9" fillId="0" borderId="29" xfId="1" applyFont="1" applyBorder="1" applyAlignment="1">
      <alignment horizontal="center" vertical="center"/>
    </xf>
    <xf numFmtId="0" fontId="9" fillId="0" borderId="36" xfId="1" applyFont="1" applyBorder="1" applyAlignment="1">
      <alignment horizontal="center" vertical="center"/>
    </xf>
    <xf numFmtId="9" fontId="10" fillId="0" borderId="29" xfId="2" applyFont="1" applyBorder="1" applyAlignment="1">
      <alignment horizontal="center" vertical="center" wrapText="1"/>
    </xf>
    <xf numFmtId="9" fontId="10" fillId="0" borderId="36" xfId="2" applyFont="1" applyBorder="1" applyAlignment="1">
      <alignment horizontal="center" vertical="center" wrapText="1"/>
    </xf>
    <xf numFmtId="0" fontId="11" fillId="0" borderId="18" xfId="1" applyFont="1" applyBorder="1" applyAlignment="1">
      <alignment horizontal="center" vertical="center" wrapText="1"/>
    </xf>
    <xf numFmtId="0" fontId="2" fillId="0" borderId="51" xfId="0" applyFont="1" applyBorder="1" applyAlignment="1">
      <alignment horizontal="center" vertical="center" wrapText="1"/>
    </xf>
    <xf numFmtId="0" fontId="4" fillId="0" borderId="52" xfId="0" applyFont="1" applyBorder="1">
      <alignment vertical="center"/>
    </xf>
    <xf numFmtId="0" fontId="4" fillId="0" borderId="53" xfId="0" applyFont="1" applyBorder="1">
      <alignment vertical="center"/>
    </xf>
    <xf numFmtId="0" fontId="4" fillId="0" borderId="54" xfId="0" applyFont="1" applyBorder="1">
      <alignment vertical="center"/>
    </xf>
    <xf numFmtId="0" fontId="4" fillId="0" borderId="62" xfId="0" applyFont="1" applyBorder="1">
      <alignment vertical="center"/>
    </xf>
    <xf numFmtId="0" fontId="4" fillId="0" borderId="63" xfId="0" applyFont="1" applyBorder="1">
      <alignment vertical="center"/>
    </xf>
    <xf numFmtId="0" fontId="9" fillId="0" borderId="18" xfId="1" applyFont="1" applyBorder="1" applyAlignment="1">
      <alignment horizontal="center" vertical="center"/>
    </xf>
    <xf numFmtId="0" fontId="11" fillId="0" borderId="38" xfId="1" applyFont="1" applyBorder="1" applyAlignment="1">
      <alignment horizontal="center" vertical="center" wrapText="1"/>
    </xf>
    <xf numFmtId="0" fontId="11" fillId="0" borderId="44" xfId="1" applyFont="1" applyBorder="1" applyAlignment="1">
      <alignment horizontal="center" vertical="center" wrapText="1"/>
    </xf>
    <xf numFmtId="0" fontId="11" fillId="0" borderId="5" xfId="1" applyFont="1" applyBorder="1" applyAlignment="1">
      <alignment horizontal="center" vertical="center" wrapText="1"/>
    </xf>
    <xf numFmtId="0" fontId="11" fillId="0" borderId="27" xfId="1" applyFont="1" applyBorder="1" applyAlignment="1">
      <alignment horizontal="center" vertical="center" wrapText="1"/>
    </xf>
    <xf numFmtId="0" fontId="11" fillId="0" borderId="29" xfId="1" applyFont="1" applyBorder="1" applyAlignment="1">
      <alignment horizontal="center" vertical="center" wrapText="1"/>
    </xf>
    <xf numFmtId="0" fontId="11" fillId="0" borderId="36" xfId="1" applyFont="1" applyBorder="1" applyAlignment="1">
      <alignment horizontal="center" vertical="center" wrapText="1"/>
    </xf>
    <xf numFmtId="0" fontId="5" fillId="0" borderId="51" xfId="0" applyFont="1" applyBorder="1" applyAlignment="1">
      <alignment horizontal="left" vertical="center" wrapText="1"/>
    </xf>
    <xf numFmtId="0" fontId="18" fillId="0" borderId="52" xfId="0" applyFont="1" applyBorder="1">
      <alignment vertical="center"/>
    </xf>
    <xf numFmtId="0" fontId="18" fillId="0" borderId="53" xfId="0" applyFont="1" applyBorder="1">
      <alignment vertical="center"/>
    </xf>
    <xf numFmtId="0" fontId="18" fillId="0" borderId="54" xfId="0" applyFont="1" applyBorder="1">
      <alignment vertical="center"/>
    </xf>
    <xf numFmtId="0" fontId="18" fillId="0" borderId="62" xfId="0" applyFont="1" applyBorder="1">
      <alignment vertical="center"/>
    </xf>
    <xf numFmtId="0" fontId="18" fillId="0" borderId="63" xfId="0" applyFont="1" applyBorder="1">
      <alignment vertical="center"/>
    </xf>
    <xf numFmtId="0" fontId="12" fillId="0" borderId="1" xfId="1" applyFont="1" applyBorder="1" applyAlignment="1">
      <alignment horizontal="center" vertical="center"/>
    </xf>
    <xf numFmtId="0" fontId="12" fillId="0" borderId="26" xfId="1" applyFont="1" applyBorder="1" applyAlignment="1">
      <alignment horizontal="center" vertical="center"/>
    </xf>
    <xf numFmtId="0" fontId="12" fillId="0" borderId="5" xfId="1" applyFont="1" applyBorder="1" applyAlignment="1">
      <alignment horizontal="center" vertical="center"/>
    </xf>
    <xf numFmtId="0" fontId="12" fillId="0" borderId="27" xfId="1" applyFont="1" applyBorder="1" applyAlignment="1">
      <alignment horizontal="center" vertical="center"/>
    </xf>
    <xf numFmtId="0" fontId="12" fillId="0" borderId="9" xfId="1" applyFont="1" applyBorder="1" applyAlignment="1">
      <alignment horizontal="center" vertical="center"/>
    </xf>
    <xf numFmtId="0" fontId="12" fillId="0" borderId="28" xfId="1" applyFont="1" applyBorder="1" applyAlignment="1">
      <alignment horizontal="center" vertical="center"/>
    </xf>
    <xf numFmtId="0" fontId="9" fillId="0" borderId="1" xfId="1" applyFont="1" applyBorder="1" applyAlignment="1">
      <alignment horizontal="center" vertical="center"/>
    </xf>
    <xf numFmtId="0" fontId="9" fillId="0" borderId="26" xfId="1" applyFont="1" applyBorder="1" applyAlignment="1">
      <alignment horizontal="center" vertical="center"/>
    </xf>
    <xf numFmtId="9" fontId="10" fillId="0" borderId="1" xfId="2" applyFont="1" applyBorder="1" applyAlignment="1">
      <alignment horizontal="center" vertical="center" wrapText="1"/>
    </xf>
    <xf numFmtId="9" fontId="10" fillId="0" borderId="26" xfId="2" applyFont="1" applyBorder="1" applyAlignment="1">
      <alignment horizontal="center" vertical="center" wrapText="1"/>
    </xf>
    <xf numFmtId="0" fontId="11" fillId="0" borderId="2" xfId="1" applyFont="1" applyBorder="1" applyAlignment="1">
      <alignment horizontal="center" vertical="center" wrapText="1"/>
    </xf>
    <xf numFmtId="0" fontId="1" fillId="0" borderId="81" xfId="0" applyFont="1" applyBorder="1" applyAlignment="1">
      <alignment horizontal="center" vertical="center" textRotation="255"/>
    </xf>
    <xf numFmtId="0" fontId="8" fillId="0" borderId="59" xfId="0" applyFont="1" applyBorder="1">
      <alignment vertical="center"/>
    </xf>
    <xf numFmtId="0" fontId="16" fillId="0" borderId="82" xfId="0" applyFont="1" applyBorder="1" applyAlignment="1">
      <alignment horizontal="center" vertical="center" textRotation="255"/>
    </xf>
    <xf numFmtId="0" fontId="17" fillId="0" borderId="52" xfId="0" applyFont="1" applyBorder="1">
      <alignment vertical="center"/>
    </xf>
    <xf numFmtId="0" fontId="17" fillId="0" borderId="53" xfId="0" applyFont="1" applyBorder="1">
      <alignment vertical="center"/>
    </xf>
    <xf numFmtId="0" fontId="17" fillId="0" borderId="54" xfId="0" applyFont="1" applyBorder="1">
      <alignment vertical="center"/>
    </xf>
    <xf numFmtId="0" fontId="17" fillId="0" borderId="62" xfId="0" applyFont="1" applyBorder="1">
      <alignment vertical="center"/>
    </xf>
    <xf numFmtId="0" fontId="17" fillId="0" borderId="63" xfId="0" applyFont="1" applyBorder="1">
      <alignment vertical="center"/>
    </xf>
    <xf numFmtId="9" fontId="2" fillId="0" borderId="62" xfId="1" applyNumberFormat="1" applyBorder="1" applyAlignment="1">
      <alignment horizontal="left" vertical="center" wrapText="1"/>
    </xf>
    <xf numFmtId="0" fontId="2" fillId="0" borderId="106" xfId="1" applyBorder="1" applyAlignment="1">
      <alignment horizontal="left" vertical="center" wrapText="1"/>
    </xf>
    <xf numFmtId="0" fontId="8" fillId="0" borderId="80" xfId="0" applyFont="1" applyBorder="1">
      <alignment vertical="center"/>
    </xf>
    <xf numFmtId="0" fontId="1" fillId="5" borderId="1" xfId="0" applyFont="1" applyFill="1" applyBorder="1" applyAlignment="1">
      <alignment horizontal="center" vertical="center" wrapText="1"/>
    </xf>
    <xf numFmtId="0" fontId="8" fillId="0" borderId="26" xfId="0" applyFont="1" applyBorder="1">
      <alignment vertical="center"/>
    </xf>
    <xf numFmtId="0" fontId="8" fillId="0" borderId="5" xfId="0" applyFont="1" applyBorder="1">
      <alignment vertical="center"/>
    </xf>
    <xf numFmtId="0" fontId="8" fillId="0" borderId="27" xfId="0" applyFont="1" applyBorder="1">
      <alignment vertical="center"/>
    </xf>
    <xf numFmtId="0" fontId="8" fillId="0" borderId="9" xfId="0" applyFont="1" applyBorder="1">
      <alignment vertical="center"/>
    </xf>
    <xf numFmtId="0" fontId="8" fillId="0" borderId="28" xfId="0" applyFont="1" applyBorder="1">
      <alignment vertical="center"/>
    </xf>
    <xf numFmtId="0" fontId="1" fillId="5" borderId="74" xfId="0" applyFont="1" applyFill="1" applyBorder="1" applyAlignment="1">
      <alignment horizontal="center" vertical="center"/>
    </xf>
    <xf numFmtId="49" fontId="1" fillId="0" borderId="23" xfId="0" applyNumberFormat="1" applyFont="1" applyBorder="1" applyAlignment="1">
      <alignment horizontal="center" vertical="center" wrapText="1" shrinkToFit="1"/>
    </xf>
    <xf numFmtId="49" fontId="1" fillId="0" borderId="10" xfId="0" applyNumberFormat="1" applyFont="1" applyBorder="1" applyAlignment="1">
      <alignment horizontal="center" vertical="center" wrapText="1" shrinkToFit="1"/>
    </xf>
    <xf numFmtId="0" fontId="1" fillId="0" borderId="35" xfId="0" applyFont="1" applyBorder="1" applyAlignment="1">
      <alignment horizontal="center" vertical="center" wrapText="1" shrinkToFit="1"/>
    </xf>
    <xf numFmtId="0" fontId="1" fillId="0" borderId="25" xfId="0" applyFont="1" applyBorder="1" applyAlignment="1">
      <alignment horizontal="center" vertical="center" wrapText="1" shrinkToFit="1"/>
    </xf>
    <xf numFmtId="49" fontId="1" fillId="0" borderId="34" xfId="0" applyNumberFormat="1" applyFont="1" applyBorder="1" applyAlignment="1">
      <alignment horizontal="center" vertical="center" wrapText="1" shrinkToFit="1"/>
    </xf>
    <xf numFmtId="49" fontId="1" fillId="0" borderId="24" xfId="0" applyNumberFormat="1" applyFont="1" applyBorder="1" applyAlignment="1">
      <alignment horizontal="center" vertical="center" wrapText="1" shrinkToFit="1"/>
    </xf>
    <xf numFmtId="9" fontId="1" fillId="3" borderId="35" xfId="0" applyNumberFormat="1" applyFont="1" applyFill="1" applyBorder="1" applyAlignment="1">
      <alignment horizontal="center" vertical="center" wrapText="1" shrinkToFit="1"/>
    </xf>
    <xf numFmtId="9" fontId="1" fillId="3" borderId="25" xfId="0" applyNumberFormat="1" applyFont="1" applyFill="1" applyBorder="1" applyAlignment="1">
      <alignment horizontal="center" vertical="center" wrapText="1" shrinkToFit="1"/>
    </xf>
    <xf numFmtId="0" fontId="9" fillId="0" borderId="33" xfId="1" applyFont="1" applyBorder="1" applyAlignment="1">
      <alignment horizontal="center" vertical="center"/>
    </xf>
    <xf numFmtId="0" fontId="9" fillId="0" borderId="35" xfId="1" applyFont="1" applyBorder="1" applyAlignment="1">
      <alignment horizontal="center" vertical="center"/>
    </xf>
    <xf numFmtId="0" fontId="9" fillId="0" borderId="45" xfId="1" applyFont="1" applyBorder="1" applyAlignment="1">
      <alignment horizontal="center" vertical="center"/>
    </xf>
    <xf numFmtId="0" fontId="1" fillId="0" borderId="66" xfId="0" applyFont="1" applyBorder="1" applyAlignment="1">
      <alignment horizontal="center" vertical="center" wrapText="1" shrinkToFit="1"/>
    </xf>
    <xf numFmtId="0" fontId="1" fillId="0" borderId="71" xfId="0" applyFont="1" applyBorder="1" applyAlignment="1">
      <alignment horizontal="center" vertical="center" wrapText="1" shrinkToFit="1"/>
    </xf>
    <xf numFmtId="0" fontId="9" fillId="0" borderId="32" xfId="1" applyFont="1" applyBorder="1" applyAlignment="1">
      <alignment horizontal="center" vertical="center"/>
    </xf>
    <xf numFmtId="0" fontId="9" fillId="3" borderId="33" xfId="1" applyFont="1" applyFill="1" applyBorder="1" applyAlignment="1">
      <alignment horizontal="center" vertical="center"/>
    </xf>
    <xf numFmtId="0" fontId="3" fillId="0" borderId="20" xfId="0" applyFont="1" applyBorder="1" applyAlignment="1">
      <alignment horizontal="center" vertical="center" textRotation="255"/>
    </xf>
    <xf numFmtId="0" fontId="7" fillId="0" borderId="15" xfId="0" applyFont="1" applyBorder="1">
      <alignment vertical="center"/>
    </xf>
    <xf numFmtId="0" fontId="7" fillId="0" borderId="25" xfId="0" applyFont="1" applyBorder="1">
      <alignment vertical="center"/>
    </xf>
    <xf numFmtId="0" fontId="2" fillId="0" borderId="21" xfId="1" applyBorder="1" applyAlignment="1">
      <alignment horizontal="center" vertical="center" wrapText="1"/>
    </xf>
    <xf numFmtId="0" fontId="2" fillId="0" borderId="22" xfId="1" applyBorder="1" applyAlignment="1">
      <alignment horizontal="center" vertical="center" wrapText="1"/>
    </xf>
    <xf numFmtId="0" fontId="2" fillId="0" borderId="23" xfId="1" applyBorder="1" applyAlignment="1">
      <alignment horizontal="center" vertical="center" wrapText="1"/>
    </xf>
    <xf numFmtId="0" fontId="2" fillId="0" borderId="7" xfId="1" applyBorder="1" applyAlignment="1">
      <alignment horizontal="center" vertical="center" wrapText="1"/>
    </xf>
    <xf numFmtId="0" fontId="2" fillId="0" borderId="0" xfId="1" applyAlignment="1">
      <alignment horizontal="center" vertical="center" wrapText="1"/>
    </xf>
    <xf numFmtId="0" fontId="2" fillId="0" borderId="6" xfId="1" applyBorder="1" applyAlignment="1">
      <alignment horizontal="center" vertical="center" wrapText="1"/>
    </xf>
    <xf numFmtId="0" fontId="2" fillId="0" borderId="11" xfId="1" applyBorder="1" applyAlignment="1">
      <alignment horizontal="center" vertical="center" wrapText="1"/>
    </xf>
    <xf numFmtId="0" fontId="2" fillId="0" borderId="8" xfId="1" applyBorder="1" applyAlignment="1">
      <alignment horizontal="center" vertical="center" wrapText="1"/>
    </xf>
    <xf numFmtId="0" fontId="2" fillId="0" borderId="10" xfId="1" applyBorder="1" applyAlignment="1">
      <alignment horizontal="center" vertical="center" wrapText="1"/>
    </xf>
    <xf numFmtId="0" fontId="6" fillId="0" borderId="7" xfId="1" applyFont="1" applyBorder="1" applyAlignment="1">
      <alignment horizontal="left" vertical="center" wrapText="1"/>
    </xf>
    <xf numFmtId="0" fontId="6" fillId="0" borderId="6" xfId="1" applyFont="1" applyBorder="1" applyAlignment="1">
      <alignment horizontal="left" vertical="center" wrapText="1"/>
    </xf>
    <xf numFmtId="0" fontId="6" fillId="0" borderId="11" xfId="1" applyFont="1" applyBorder="1" applyAlignment="1">
      <alignment horizontal="left" vertical="center" wrapText="1"/>
    </xf>
    <xf numFmtId="0" fontId="6" fillId="0" borderId="10" xfId="1" applyFont="1" applyBorder="1" applyAlignment="1">
      <alignment horizontal="left" vertical="center" wrapText="1"/>
    </xf>
    <xf numFmtId="9" fontId="2" fillId="0" borderId="43" xfId="1" applyNumberFormat="1" applyBorder="1" applyAlignment="1">
      <alignment horizontal="left" vertical="center" wrapText="1"/>
    </xf>
    <xf numFmtId="0" fontId="2" fillId="0" borderId="57" xfId="1" applyBorder="1" applyAlignment="1">
      <alignment horizontal="left" vertical="center" wrapText="1"/>
    </xf>
    <xf numFmtId="0" fontId="2" fillId="0" borderId="43" xfId="1" applyBorder="1" applyAlignment="1">
      <alignment horizontal="left" vertical="center" wrapText="1"/>
    </xf>
    <xf numFmtId="0" fontId="2" fillId="0" borderId="55" xfId="1" applyBorder="1" applyAlignment="1">
      <alignment horizontal="left" vertical="center" wrapText="1"/>
    </xf>
    <xf numFmtId="0" fontId="2" fillId="0" borderId="64" xfId="1" applyBorder="1" applyAlignment="1">
      <alignment horizontal="left" vertical="center" wrapText="1"/>
    </xf>
    <xf numFmtId="0" fontId="9" fillId="0" borderId="108" xfId="1" applyFont="1" applyBorder="1" applyAlignment="1">
      <alignment horizontal="center" vertical="center"/>
    </xf>
    <xf numFmtId="49" fontId="1" fillId="0" borderId="52" xfId="0" applyNumberFormat="1" applyFont="1" applyBorder="1" applyAlignment="1">
      <alignment horizontal="center" vertical="center" shrinkToFit="1"/>
    </xf>
    <xf numFmtId="0" fontId="9" fillId="0" borderId="31" xfId="1" applyFont="1" applyBorder="1" applyAlignment="1">
      <alignment horizontal="center" vertical="center"/>
    </xf>
    <xf numFmtId="0" fontId="9" fillId="0" borderId="66" xfId="1" applyFont="1" applyBorder="1" applyAlignment="1">
      <alignment horizontal="center" vertical="center"/>
    </xf>
    <xf numFmtId="0" fontId="2" fillId="0" borderId="17" xfId="1" applyBorder="1" applyAlignment="1">
      <alignment horizontal="center" vertical="center" wrapText="1"/>
    </xf>
    <xf numFmtId="0" fontId="2" fillId="0" borderId="18" xfId="1" applyBorder="1" applyAlignment="1">
      <alignment horizontal="center" vertical="center" wrapText="1"/>
    </xf>
    <xf numFmtId="0" fontId="2" fillId="0" borderId="19" xfId="1" applyBorder="1" applyAlignment="1">
      <alignment horizontal="center" vertical="center" wrapText="1"/>
    </xf>
    <xf numFmtId="0" fontId="5" fillId="0" borderId="21" xfId="1" applyFont="1" applyBorder="1" applyAlignment="1">
      <alignment horizontal="left" vertical="center" wrapText="1"/>
    </xf>
    <xf numFmtId="0" fontId="5" fillId="0" borderId="23" xfId="1" applyFont="1" applyBorder="1" applyAlignment="1">
      <alignment horizontal="left" vertical="center" wrapText="1"/>
    </xf>
    <xf numFmtId="0" fontId="5" fillId="0" borderId="7" xfId="1" applyFont="1" applyBorder="1" applyAlignment="1">
      <alignment horizontal="left" vertical="center" wrapText="1"/>
    </xf>
    <xf numFmtId="0" fontId="5" fillId="0" borderId="6" xfId="1" applyFont="1" applyBorder="1" applyAlignment="1">
      <alignment horizontal="left" vertical="center" wrapText="1"/>
    </xf>
    <xf numFmtId="0" fontId="5" fillId="0" borderId="17" xfId="1" applyFont="1" applyBorder="1" applyAlignment="1">
      <alignment horizontal="left" vertical="center" wrapText="1"/>
    </xf>
    <xf numFmtId="0" fontId="5" fillId="0" borderId="19" xfId="1" applyFont="1" applyBorder="1" applyAlignment="1">
      <alignment horizontal="left" vertical="center" wrapText="1"/>
    </xf>
    <xf numFmtId="0" fontId="9" fillId="0" borderId="30" xfId="1" applyFont="1" applyBorder="1" applyAlignment="1">
      <alignment horizontal="center" vertical="center"/>
    </xf>
    <xf numFmtId="0" fontId="9" fillId="3" borderId="30" xfId="1" applyFont="1" applyFill="1" applyBorder="1" applyAlignment="1">
      <alignment horizontal="center" vertical="center"/>
    </xf>
    <xf numFmtId="0" fontId="2" fillId="0" borderId="4" xfId="1" applyBorder="1" applyAlignment="1">
      <alignment horizontal="center" vertical="center" wrapText="1"/>
    </xf>
    <xf numFmtId="0" fontId="2" fillId="0" borderId="2" xfId="1" applyBorder="1" applyAlignment="1">
      <alignment horizontal="center" vertical="center" wrapText="1"/>
    </xf>
    <xf numFmtId="0" fontId="2" fillId="0" borderId="3" xfId="1" applyBorder="1" applyAlignment="1">
      <alignment horizontal="center" vertical="center" wrapText="1"/>
    </xf>
    <xf numFmtId="0" fontId="4" fillId="0" borderId="4" xfId="1" applyFont="1" applyBorder="1" applyAlignment="1">
      <alignment horizontal="left" vertical="center" wrapText="1"/>
    </xf>
    <xf numFmtId="0" fontId="4" fillId="0" borderId="3" xfId="1" applyFont="1" applyBorder="1" applyAlignment="1">
      <alignment horizontal="left" vertical="center" wrapText="1"/>
    </xf>
    <xf numFmtId="0" fontId="4" fillId="0" borderId="7" xfId="1" applyFont="1" applyBorder="1" applyAlignment="1">
      <alignment horizontal="left" vertical="center" wrapText="1"/>
    </xf>
    <xf numFmtId="0" fontId="4" fillId="0" borderId="6" xfId="1" applyFont="1" applyBorder="1" applyAlignment="1">
      <alignment horizontal="left" vertical="center" wrapText="1"/>
    </xf>
    <xf numFmtId="0" fontId="4" fillId="0" borderId="17" xfId="1" applyFont="1" applyBorder="1" applyAlignment="1">
      <alignment horizontal="left" vertical="center" wrapText="1"/>
    </xf>
    <xf numFmtId="0" fontId="4" fillId="0" borderId="19" xfId="1" applyFont="1" applyBorder="1" applyAlignment="1">
      <alignment horizontal="left" vertical="center" wrapText="1"/>
    </xf>
    <xf numFmtId="9" fontId="2" fillId="0" borderId="48" xfId="1" applyNumberFormat="1" applyBorder="1" applyAlignment="1">
      <alignment horizontal="left" vertical="center" wrapText="1"/>
    </xf>
    <xf numFmtId="0" fontId="2" fillId="0" borderId="56" xfId="1" applyBorder="1" applyAlignment="1">
      <alignment horizontal="left" vertical="center" wrapText="1"/>
    </xf>
    <xf numFmtId="0" fontId="1" fillId="0" borderId="31" xfId="0" applyFont="1" applyBorder="1" applyAlignment="1">
      <alignment horizontal="center" vertical="center" wrapText="1" shrinkToFit="1"/>
    </xf>
    <xf numFmtId="0" fontId="9" fillId="0" borderId="65" xfId="1" applyFont="1" applyBorder="1" applyAlignment="1">
      <alignment horizontal="center" vertical="center"/>
    </xf>
    <xf numFmtId="0" fontId="1" fillId="0" borderId="67" xfId="0" applyFont="1" applyBorder="1" applyAlignment="1">
      <alignment horizontal="center" vertical="center" wrapText="1" shrinkToFit="1"/>
    </xf>
    <xf numFmtId="0" fontId="1" fillId="0" borderId="1" xfId="1" applyFont="1" applyBorder="1" applyAlignment="1">
      <alignment horizontal="center" vertical="center" textRotation="255"/>
    </xf>
    <xf numFmtId="0" fontId="1" fillId="0" borderId="5" xfId="1" applyFont="1" applyBorder="1" applyAlignment="1">
      <alignment horizontal="center" vertical="center" textRotation="255"/>
    </xf>
    <xf numFmtId="0" fontId="1" fillId="0" borderId="9" xfId="1" applyFont="1" applyBorder="1" applyAlignment="1">
      <alignment horizontal="center" vertical="center" textRotation="255"/>
    </xf>
    <xf numFmtId="0" fontId="3" fillId="0" borderId="109" xfId="0" applyFont="1" applyBorder="1" applyAlignment="1">
      <alignment horizontal="center" vertical="center" textRotation="255"/>
    </xf>
    <xf numFmtId="0" fontId="9" fillId="0" borderId="107" xfId="1" applyFont="1" applyBorder="1" applyAlignment="1">
      <alignment horizontal="center" vertical="center"/>
    </xf>
    <xf numFmtId="0" fontId="1" fillId="2" borderId="1" xfId="1" applyFont="1" applyFill="1" applyBorder="1" applyAlignment="1">
      <alignment horizontal="center" vertical="center"/>
    </xf>
    <xf numFmtId="0" fontId="1" fillId="2" borderId="2" xfId="1" applyFont="1" applyFill="1" applyBorder="1" applyAlignment="1">
      <alignment horizontal="center" vertical="center"/>
    </xf>
    <xf numFmtId="0" fontId="1" fillId="2" borderId="26" xfId="1" applyFont="1" applyFill="1" applyBorder="1" applyAlignment="1">
      <alignment horizontal="center" vertical="center"/>
    </xf>
    <xf numFmtId="0" fontId="1" fillId="2" borderId="5" xfId="1" applyFont="1" applyFill="1" applyBorder="1" applyAlignment="1">
      <alignment horizontal="center" vertical="center"/>
    </xf>
    <xf numFmtId="0" fontId="1" fillId="2" borderId="0" xfId="1" applyFont="1" applyFill="1" applyAlignment="1">
      <alignment horizontal="center" vertical="center"/>
    </xf>
    <xf numFmtId="0" fontId="1" fillId="2" borderId="27" xfId="1" applyFont="1" applyFill="1" applyBorder="1" applyAlignment="1">
      <alignment horizontal="center" vertical="center"/>
    </xf>
    <xf numFmtId="0" fontId="1" fillId="2" borderId="9" xfId="1" applyFont="1" applyFill="1" applyBorder="1" applyAlignment="1">
      <alignment horizontal="center" vertical="center"/>
    </xf>
    <xf numFmtId="0" fontId="1" fillId="2" borderId="8" xfId="1" applyFont="1" applyFill="1" applyBorder="1" applyAlignment="1">
      <alignment horizontal="center" vertical="center"/>
    </xf>
    <xf numFmtId="0" fontId="1" fillId="2" borderId="28" xfId="1" applyFont="1" applyFill="1" applyBorder="1" applyAlignment="1">
      <alignment horizontal="center" vertical="center"/>
    </xf>
    <xf numFmtId="0" fontId="1" fillId="2" borderId="3" xfId="1" applyFont="1" applyFill="1" applyBorder="1" applyAlignment="1">
      <alignment horizontal="center" vertical="center"/>
    </xf>
    <xf numFmtId="0" fontId="1" fillId="2" borderId="6" xfId="1" applyFont="1" applyFill="1" applyBorder="1" applyAlignment="1">
      <alignment horizontal="center" vertical="center"/>
    </xf>
    <xf numFmtId="0" fontId="1" fillId="2" borderId="10" xfId="1" applyFont="1" applyFill="1" applyBorder="1" applyAlignment="1">
      <alignment horizontal="center" vertical="center"/>
    </xf>
    <xf numFmtId="0" fontId="1" fillId="2" borderId="4" xfId="1" applyFont="1" applyFill="1" applyBorder="1" applyAlignment="1">
      <alignment horizontal="center" vertical="center" wrapText="1"/>
    </xf>
    <xf numFmtId="0" fontId="1" fillId="2" borderId="7" xfId="1" applyFont="1" applyFill="1" applyBorder="1" applyAlignment="1">
      <alignment horizontal="center" vertical="center" wrapText="1"/>
    </xf>
    <xf numFmtId="0" fontId="1" fillId="2" borderId="11" xfId="1" applyFont="1" applyFill="1" applyBorder="1" applyAlignment="1">
      <alignment horizontal="center" vertical="center" wrapText="1"/>
    </xf>
    <xf numFmtId="0" fontId="8" fillId="2" borderId="1" xfId="1" applyFont="1" applyFill="1" applyBorder="1" applyAlignment="1">
      <alignment horizontal="center" vertical="center"/>
    </xf>
    <xf numFmtId="0" fontId="8" fillId="2" borderId="2" xfId="1" applyFont="1" applyFill="1" applyBorder="1" applyAlignment="1">
      <alignment horizontal="center" vertical="center"/>
    </xf>
    <xf numFmtId="0" fontId="8" fillId="2" borderId="26" xfId="1" applyFont="1" applyFill="1" applyBorder="1" applyAlignment="1">
      <alignment horizontal="center" vertical="center"/>
    </xf>
    <xf numFmtId="0" fontId="8" fillId="2" borderId="5" xfId="1" applyFont="1" applyFill="1" applyBorder="1" applyAlignment="1">
      <alignment horizontal="center" vertical="center"/>
    </xf>
    <xf numFmtId="0" fontId="8" fillId="2" borderId="0" xfId="1" applyFont="1" applyFill="1" applyAlignment="1">
      <alignment horizontal="center" vertical="center"/>
    </xf>
    <xf numFmtId="0" fontId="8" fillId="2" borderId="27" xfId="1" applyFont="1" applyFill="1" applyBorder="1" applyAlignment="1">
      <alignment horizontal="center" vertical="center"/>
    </xf>
    <xf numFmtId="0" fontId="8" fillId="2" borderId="9" xfId="1" applyFont="1" applyFill="1" applyBorder="1" applyAlignment="1">
      <alignment horizontal="center" vertical="center"/>
    </xf>
    <xf numFmtId="0" fontId="8" fillId="2" borderId="8" xfId="1" applyFont="1" applyFill="1" applyBorder="1" applyAlignment="1">
      <alignment horizontal="center" vertical="center"/>
    </xf>
    <xf numFmtId="0" fontId="8" fillId="2" borderId="28" xfId="1" applyFont="1" applyFill="1" applyBorder="1" applyAlignment="1">
      <alignment horizontal="center" vertical="center"/>
    </xf>
    <xf numFmtId="49" fontId="1" fillId="0" borderId="19" xfId="0" applyNumberFormat="1" applyFont="1" applyBorder="1" applyAlignment="1">
      <alignment horizontal="center" vertical="center" wrapText="1" shrinkToFit="1"/>
    </xf>
    <xf numFmtId="9" fontId="1" fillId="3" borderId="31" xfId="0" applyNumberFormat="1" applyFont="1" applyFill="1" applyBorder="1" applyAlignment="1">
      <alignment horizontal="center" vertical="center" wrapText="1" shrinkToFit="1"/>
    </xf>
    <xf numFmtId="9" fontId="1" fillId="0" borderId="38" xfId="1" applyNumberFormat="1" applyFont="1" applyBorder="1" applyAlignment="1">
      <alignment horizontal="center" vertical="center" wrapText="1"/>
    </xf>
    <xf numFmtId="0" fontId="1" fillId="0" borderId="9" xfId="1" applyFont="1" applyBorder="1" applyAlignment="1">
      <alignment horizontal="center" vertical="center" wrapText="1"/>
    </xf>
    <xf numFmtId="9" fontId="1" fillId="0" borderId="35" xfId="1" applyNumberFormat="1" applyFont="1" applyBorder="1" applyAlignment="1">
      <alignment horizontal="center" vertical="center"/>
    </xf>
    <xf numFmtId="0" fontId="1" fillId="0" borderId="25" xfId="1" applyFont="1" applyBorder="1" applyAlignment="1">
      <alignment horizontal="center" vertical="center"/>
    </xf>
    <xf numFmtId="9" fontId="1" fillId="0" borderId="33" xfId="1" applyNumberFormat="1" applyFont="1" applyBorder="1" applyAlignment="1">
      <alignment horizontal="center" vertical="center"/>
    </xf>
    <xf numFmtId="0" fontId="1" fillId="0" borderId="39" xfId="1" applyFont="1" applyBorder="1" applyAlignment="1">
      <alignment horizontal="center" vertical="center"/>
    </xf>
    <xf numFmtId="9" fontId="1" fillId="3" borderId="33" xfId="1" applyNumberFormat="1" applyFont="1" applyFill="1" applyBorder="1" applyAlignment="1">
      <alignment horizontal="center" vertical="center"/>
    </xf>
    <xf numFmtId="0" fontId="1" fillId="3" borderId="39" xfId="1" applyFont="1" applyFill="1" applyBorder="1" applyAlignment="1">
      <alignment horizontal="center" vertical="center"/>
    </xf>
    <xf numFmtId="0" fontId="9" fillId="0" borderId="43" xfId="1" applyFont="1" applyBorder="1" applyAlignment="1">
      <alignment horizontal="center" vertical="center"/>
    </xf>
    <xf numFmtId="9" fontId="1" fillId="0" borderId="45" xfId="1" applyNumberFormat="1" applyFont="1" applyBorder="1" applyAlignment="1">
      <alignment horizontal="center" vertical="center"/>
    </xf>
    <xf numFmtId="0" fontId="1" fillId="0" borderId="46" xfId="1" applyFont="1" applyBorder="1" applyAlignment="1">
      <alignment horizontal="center" vertical="center"/>
    </xf>
    <xf numFmtId="0" fontId="3" fillId="0" borderId="15" xfId="0" applyFont="1" applyBorder="1" applyAlignment="1">
      <alignment horizontal="center" vertical="center" textRotation="255"/>
    </xf>
    <xf numFmtId="0" fontId="3" fillId="0" borderId="25" xfId="0" applyFont="1" applyBorder="1" applyAlignment="1">
      <alignment horizontal="center" vertical="center" textRotation="255"/>
    </xf>
    <xf numFmtId="0" fontId="24" fillId="0" borderId="7" xfId="1" applyFont="1" applyBorder="1" applyAlignment="1">
      <alignment horizontal="center" vertical="center" wrapText="1"/>
    </xf>
    <xf numFmtId="0" fontId="24" fillId="0" borderId="7" xfId="1" applyFont="1" applyBorder="1" applyAlignment="1">
      <alignment horizontal="left" vertical="center" wrapText="1"/>
    </xf>
    <xf numFmtId="0" fontId="2" fillId="0" borderId="6" xfId="1" applyBorder="1" applyAlignment="1">
      <alignment horizontal="left" vertical="center" wrapText="1"/>
    </xf>
    <xf numFmtId="0" fontId="2" fillId="0" borderId="7" xfId="1" applyBorder="1" applyAlignment="1">
      <alignment horizontal="left" vertical="center" wrapText="1"/>
    </xf>
    <xf numFmtId="0" fontId="2" fillId="0" borderId="11" xfId="1" applyBorder="1" applyAlignment="1">
      <alignment horizontal="left" vertical="center" wrapText="1"/>
    </xf>
    <xf numFmtId="0" fontId="2" fillId="0" borderId="10" xfId="1" applyBorder="1" applyAlignment="1">
      <alignment horizontal="left" vertical="center" wrapText="1"/>
    </xf>
    <xf numFmtId="9" fontId="2" fillId="0" borderId="7" xfId="1" applyNumberFormat="1" applyBorder="1" applyAlignment="1">
      <alignment horizontal="left" vertical="center" wrapText="1"/>
    </xf>
    <xf numFmtId="0" fontId="2" fillId="0" borderId="27" xfId="1" applyBorder="1" applyAlignment="1">
      <alignment horizontal="left" vertical="center" wrapText="1"/>
    </xf>
    <xf numFmtId="0" fontId="2" fillId="0" borderId="28" xfId="1" applyBorder="1" applyAlignment="1">
      <alignment horizontal="left" vertical="center" wrapText="1"/>
    </xf>
    <xf numFmtId="9" fontId="23" fillId="0" borderId="38" xfId="2" applyFont="1" applyBorder="1" applyAlignment="1">
      <alignment horizontal="center" vertical="center" wrapText="1"/>
    </xf>
    <xf numFmtId="0" fontId="3" fillId="0" borderId="16" xfId="0" applyFont="1" applyBorder="1" applyAlignment="1">
      <alignment horizontal="center" vertical="center" textRotation="255"/>
    </xf>
    <xf numFmtId="9" fontId="4" fillId="0" borderId="7" xfId="1" applyNumberFormat="1" applyFont="1" applyBorder="1" applyAlignment="1">
      <alignment horizontal="left" vertical="center" wrapText="1"/>
    </xf>
    <xf numFmtId="0" fontId="4" fillId="0" borderId="27" xfId="1" applyFont="1" applyBorder="1" applyAlignment="1">
      <alignment horizontal="left" vertical="center" wrapText="1"/>
    </xf>
    <xf numFmtId="0" fontId="4" fillId="0" borderId="36" xfId="1" applyFont="1" applyBorder="1" applyAlignment="1">
      <alignment horizontal="left" vertical="center" wrapText="1"/>
    </xf>
    <xf numFmtId="0" fontId="1" fillId="0" borderId="33" xfId="0" applyFont="1" applyBorder="1" applyAlignment="1">
      <alignment horizontal="center" vertical="center" wrapText="1" shrinkToFit="1"/>
    </xf>
    <xf numFmtId="0" fontId="1" fillId="0" borderId="43" xfId="0" applyFont="1" applyBorder="1" applyAlignment="1">
      <alignment horizontal="center" vertical="center" wrapText="1" shrinkToFit="1"/>
    </xf>
    <xf numFmtId="49" fontId="1" fillId="0" borderId="37" xfId="0" applyNumberFormat="1" applyFont="1" applyBorder="1" applyAlignment="1">
      <alignment horizontal="center" vertical="center" wrapText="1" shrinkToFit="1"/>
    </xf>
    <xf numFmtId="9" fontId="1" fillId="3" borderId="33" xfId="0" applyNumberFormat="1" applyFont="1" applyFill="1" applyBorder="1" applyAlignment="1">
      <alignment horizontal="center" vertical="center" wrapText="1" shrinkToFit="1"/>
    </xf>
    <xf numFmtId="0" fontId="24" fillId="0" borderId="21" xfId="1" applyFont="1" applyBorder="1" applyAlignment="1">
      <alignment horizontal="center" vertical="center" wrapText="1"/>
    </xf>
    <xf numFmtId="0" fontId="6" fillId="0" borderId="21" xfId="1" applyFont="1" applyBorder="1" applyAlignment="1">
      <alignment horizontal="left" vertical="center" wrapText="1"/>
    </xf>
    <xf numFmtId="0" fontId="6" fillId="0" borderId="23" xfId="1" applyFont="1" applyBorder="1" applyAlignment="1">
      <alignment horizontal="left" vertical="center" wrapText="1"/>
    </xf>
    <xf numFmtId="0" fontId="6" fillId="0" borderId="17" xfId="1" applyFont="1" applyBorder="1" applyAlignment="1">
      <alignment horizontal="left" vertical="center" wrapText="1"/>
    </xf>
    <xf numFmtId="0" fontId="6" fillId="0" borderId="19" xfId="1" applyFont="1" applyBorder="1" applyAlignment="1">
      <alignment horizontal="left" vertical="center" wrapText="1"/>
    </xf>
    <xf numFmtId="9" fontId="2" fillId="0" borderId="4" xfId="1" applyNumberFormat="1" applyBorder="1" applyAlignment="1">
      <alignment horizontal="left" vertical="center" wrapText="1"/>
    </xf>
    <xf numFmtId="0" fontId="2" fillId="0" borderId="26" xfId="1" applyBorder="1" applyAlignment="1">
      <alignment horizontal="left" vertical="center" wrapText="1"/>
    </xf>
    <xf numFmtId="0" fontId="2" fillId="0" borderId="17" xfId="1" applyBorder="1" applyAlignment="1">
      <alignment horizontal="left" vertical="center" wrapText="1"/>
    </xf>
    <xf numFmtId="0" fontId="2" fillId="0" borderId="36" xfId="1" applyBorder="1" applyAlignment="1">
      <alignment horizontal="left" vertical="center" wrapText="1"/>
    </xf>
    <xf numFmtId="0" fontId="9" fillId="0" borderId="17" xfId="1" applyFont="1" applyBorder="1" applyAlignment="1">
      <alignment horizontal="center" vertical="center"/>
    </xf>
    <xf numFmtId="0" fontId="1" fillId="0" borderId="12" xfId="1" applyFont="1" applyBorder="1" applyAlignment="1">
      <alignment horizontal="center" vertical="center" textRotation="255"/>
    </xf>
    <xf numFmtId="0" fontId="1" fillId="0" borderId="14" xfId="1" applyFont="1" applyBorder="1" applyAlignment="1">
      <alignment horizontal="center" vertical="center" textRotation="255"/>
    </xf>
    <xf numFmtId="0" fontId="1" fillId="0" borderId="24" xfId="1" applyFont="1" applyBorder="1" applyAlignment="1">
      <alignment horizontal="center" vertical="center" textRotation="255"/>
    </xf>
    <xf numFmtId="0" fontId="3" fillId="0" borderId="13" xfId="0" applyFont="1" applyBorder="1" applyAlignment="1">
      <alignment horizontal="center" vertical="center" textRotation="255"/>
    </xf>
    <xf numFmtId="0" fontId="1" fillId="2" borderId="7" xfId="1" applyFont="1" applyFill="1" applyBorder="1" applyAlignment="1">
      <alignment horizontal="center" vertical="center"/>
    </xf>
    <xf numFmtId="0" fontId="1" fillId="2" borderId="11" xfId="1" applyFont="1" applyFill="1" applyBorder="1" applyAlignment="1">
      <alignment horizontal="center" vertical="center"/>
    </xf>
    <xf numFmtId="0" fontId="1" fillId="0" borderId="21" xfId="0" applyFont="1" applyBorder="1" applyAlignment="1">
      <alignment horizontal="center" vertical="center" wrapText="1" shrinkToFit="1"/>
    </xf>
    <xf numFmtId="0" fontId="1" fillId="0" borderId="17" xfId="0" applyFont="1" applyBorder="1" applyAlignment="1">
      <alignment horizontal="center" vertical="center" wrapText="1" shrinkToFit="1"/>
    </xf>
    <xf numFmtId="0" fontId="9" fillId="3" borderId="31" xfId="1" applyFont="1" applyFill="1" applyBorder="1" applyAlignment="1">
      <alignment horizontal="center" vertical="center"/>
    </xf>
    <xf numFmtId="9" fontId="1" fillId="7" borderId="50" xfId="0" applyNumberFormat="1" applyFont="1" applyFill="1" applyBorder="1" applyAlignment="1">
      <alignment horizontal="center" vertical="center" wrapText="1" shrinkToFit="1"/>
    </xf>
    <xf numFmtId="9" fontId="1" fillId="7" borderId="68" xfId="0" applyNumberFormat="1" applyFont="1" applyFill="1" applyBorder="1" applyAlignment="1">
      <alignment horizontal="center" vertical="center" shrinkToFit="1"/>
    </xf>
    <xf numFmtId="9" fontId="1" fillId="0" borderId="50" xfId="0" applyNumberFormat="1" applyFont="1" applyBorder="1" applyAlignment="1">
      <alignment horizontal="center" vertical="center" shrinkToFit="1"/>
    </xf>
  </cellXfs>
  <cellStyles count="3">
    <cellStyle name="パーセント 2" xfId="2" xr:uid="{00000000-0005-0000-0000-000032000000}"/>
    <cellStyle name="標準" xfId="0" builtinId="0"/>
    <cellStyle name="標準 2 3" xfId="1" xr:uid="{00000000-0005-0000-0000-00001F000000}"/>
  </cellStyles>
  <dxfs count="4">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DB89C-6164-4946-BCF3-C6FC87DF807A}">
  <dimension ref="A1:AF99"/>
  <sheetViews>
    <sheetView tabSelected="1" topLeftCell="A3" zoomScale="110" zoomScaleNormal="110" workbookViewId="0">
      <selection activeCell="S7" sqref="S7:S8"/>
    </sheetView>
  </sheetViews>
  <sheetFormatPr defaultColWidth="9" defaultRowHeight="13" x14ac:dyDescent="0.2"/>
  <sheetData>
    <row r="1" spans="1:32" ht="13.5" thickBot="1" x14ac:dyDescent="0.25"/>
    <row r="2" spans="1:32" s="29" customFormat="1" ht="23.25" customHeight="1" x14ac:dyDescent="0.2">
      <c r="A2" s="170" t="s">
        <v>157</v>
      </c>
      <c r="B2" s="171"/>
      <c r="C2" s="153" t="s">
        <v>0</v>
      </c>
      <c r="D2" s="154"/>
      <c r="E2" s="155"/>
      <c r="F2" s="162" t="s">
        <v>1</v>
      </c>
      <c r="G2" s="155"/>
      <c r="H2" s="162" t="s">
        <v>2</v>
      </c>
      <c r="I2" s="154"/>
      <c r="J2" s="153" t="s">
        <v>3</v>
      </c>
      <c r="K2" s="154"/>
      <c r="L2" s="154"/>
      <c r="M2" s="154"/>
      <c r="N2" s="154"/>
      <c r="O2" s="154"/>
      <c r="P2" s="154"/>
      <c r="Q2" s="154"/>
      <c r="R2" s="154"/>
      <c r="S2" s="154"/>
      <c r="T2" s="165"/>
      <c r="U2" s="110" t="s">
        <v>4</v>
      </c>
      <c r="V2" s="111"/>
      <c r="W2" s="114" t="s">
        <v>5</v>
      </c>
      <c r="X2" s="114"/>
      <c r="Y2" s="95" t="s">
        <v>6</v>
      </c>
      <c r="Z2" s="95"/>
      <c r="AA2" s="95" t="s">
        <v>7</v>
      </c>
      <c r="AB2" s="98"/>
      <c r="AC2" s="101" t="s">
        <v>8</v>
      </c>
      <c r="AD2" s="102"/>
      <c r="AE2" s="102"/>
      <c r="AF2" s="103"/>
    </row>
    <row r="3" spans="1:32" s="29" customFormat="1" ht="23.25" customHeight="1" x14ac:dyDescent="0.2">
      <c r="B3" s="31"/>
      <c r="C3" s="156"/>
      <c r="D3" s="157"/>
      <c r="E3" s="158"/>
      <c r="F3" s="163"/>
      <c r="G3" s="158"/>
      <c r="H3" s="163"/>
      <c r="I3" s="164"/>
      <c r="J3" s="156"/>
      <c r="K3" s="157"/>
      <c r="L3" s="157"/>
      <c r="M3" s="157"/>
      <c r="N3" s="157"/>
      <c r="O3" s="157"/>
      <c r="P3" s="157"/>
      <c r="Q3" s="157"/>
      <c r="R3" s="157"/>
      <c r="S3" s="157"/>
      <c r="T3" s="166"/>
      <c r="U3" s="112"/>
      <c r="V3" s="112"/>
      <c r="W3" s="115"/>
      <c r="X3" s="115"/>
      <c r="Y3" s="96"/>
      <c r="Z3" s="96"/>
      <c r="AA3" s="99"/>
      <c r="AB3" s="99"/>
      <c r="AC3" s="104"/>
      <c r="AD3" s="105"/>
      <c r="AE3" s="105"/>
      <c r="AF3" s="106"/>
    </row>
    <row r="4" spans="1:32" s="29" customFormat="1" ht="23.25" customHeight="1" thickBot="1" x14ac:dyDescent="0.25">
      <c r="A4" s="32"/>
      <c r="B4" s="33"/>
      <c r="C4" s="159"/>
      <c r="D4" s="160"/>
      <c r="E4" s="161"/>
      <c r="F4" s="163"/>
      <c r="G4" s="158"/>
      <c r="H4" s="163"/>
      <c r="I4" s="164"/>
      <c r="J4" s="159"/>
      <c r="K4" s="160"/>
      <c r="L4" s="160"/>
      <c r="M4" s="160"/>
      <c r="N4" s="160"/>
      <c r="O4" s="160"/>
      <c r="P4" s="160"/>
      <c r="Q4" s="160"/>
      <c r="R4" s="160"/>
      <c r="S4" s="160"/>
      <c r="T4" s="167"/>
      <c r="U4" s="113"/>
      <c r="V4" s="113"/>
      <c r="W4" s="116"/>
      <c r="X4" s="116"/>
      <c r="Y4" s="97"/>
      <c r="Z4" s="97"/>
      <c r="AA4" s="100"/>
      <c r="AB4" s="100"/>
      <c r="AC4" s="107"/>
      <c r="AD4" s="108"/>
      <c r="AE4" s="108"/>
      <c r="AF4" s="109"/>
    </row>
    <row r="5" spans="1:32" ht="23.25" customHeight="1" x14ac:dyDescent="0.2">
      <c r="A5" s="135" t="s">
        <v>9</v>
      </c>
      <c r="B5" s="137" t="s">
        <v>10</v>
      </c>
      <c r="C5" s="138" t="s">
        <v>37</v>
      </c>
      <c r="D5" s="139"/>
      <c r="E5" s="140"/>
      <c r="F5" s="147" t="s">
        <v>38</v>
      </c>
      <c r="G5" s="148"/>
      <c r="H5" s="150" t="s">
        <v>156</v>
      </c>
      <c r="I5" s="151"/>
      <c r="J5" s="55">
        <v>0</v>
      </c>
      <c r="K5" s="152">
        <v>10</v>
      </c>
      <c r="L5" s="86">
        <v>20</v>
      </c>
      <c r="M5" s="86">
        <v>30</v>
      </c>
      <c r="N5" s="86">
        <v>40</v>
      </c>
      <c r="O5" s="86">
        <v>50</v>
      </c>
      <c r="P5" s="168">
        <v>60</v>
      </c>
      <c r="Q5" s="86">
        <v>70</v>
      </c>
      <c r="R5" s="86">
        <v>80</v>
      </c>
      <c r="S5" s="86">
        <v>90</v>
      </c>
      <c r="T5" s="72">
        <v>100</v>
      </c>
      <c r="U5" s="133"/>
      <c r="V5" s="134"/>
      <c r="W5" s="89">
        <v>0.4</v>
      </c>
      <c r="X5" s="90"/>
      <c r="Y5" s="91">
        <f>U5*W5</f>
        <v>0</v>
      </c>
      <c r="Z5" s="91"/>
      <c r="AA5" s="126">
        <f>SUM(Y5:Z16)</f>
        <v>0</v>
      </c>
      <c r="AB5" s="127"/>
      <c r="AC5" s="130"/>
      <c r="AD5" s="131"/>
      <c r="AE5" s="131"/>
      <c r="AF5" s="132"/>
    </row>
    <row r="6" spans="1:32" ht="23.25" customHeight="1" x14ac:dyDescent="0.2">
      <c r="A6" s="136"/>
      <c r="B6" s="39"/>
      <c r="C6" s="141"/>
      <c r="D6" s="142"/>
      <c r="E6" s="143"/>
      <c r="F6" s="149"/>
      <c r="G6" s="149"/>
      <c r="H6" s="68"/>
      <c r="I6" s="67"/>
      <c r="J6" s="56"/>
      <c r="K6" s="40"/>
      <c r="L6" s="40"/>
      <c r="M6" s="40"/>
      <c r="N6" s="40"/>
      <c r="O6" s="40"/>
      <c r="P6" s="40"/>
      <c r="Q6" s="40"/>
      <c r="R6" s="40"/>
      <c r="S6" s="40"/>
      <c r="T6" s="73"/>
      <c r="U6" s="74"/>
      <c r="V6" s="75"/>
      <c r="W6" s="76"/>
      <c r="X6" s="77"/>
      <c r="Y6" s="78"/>
      <c r="Z6" s="78"/>
      <c r="AA6" s="128"/>
      <c r="AB6" s="129"/>
      <c r="AC6" s="69"/>
      <c r="AD6" s="70"/>
      <c r="AE6" s="70"/>
      <c r="AF6" s="71"/>
    </row>
    <row r="7" spans="1:32" ht="23.25" customHeight="1" x14ac:dyDescent="0.2">
      <c r="A7" s="136"/>
      <c r="B7" s="39"/>
      <c r="C7" s="141"/>
      <c r="D7" s="142"/>
      <c r="E7" s="143"/>
      <c r="F7" s="149"/>
      <c r="G7" s="149"/>
      <c r="H7" s="68"/>
      <c r="I7" s="67"/>
      <c r="J7" s="58" t="s">
        <v>172</v>
      </c>
      <c r="K7" s="414">
        <v>0.75</v>
      </c>
      <c r="L7" s="414">
        <v>0.8</v>
      </c>
      <c r="M7" s="414">
        <v>0.85</v>
      </c>
      <c r="N7" s="414">
        <v>0.9</v>
      </c>
      <c r="O7" s="414">
        <v>0.95</v>
      </c>
      <c r="P7" s="94">
        <v>1</v>
      </c>
      <c r="Q7" s="414">
        <v>1.05</v>
      </c>
      <c r="R7" s="414">
        <v>1.1000000000000001</v>
      </c>
      <c r="S7" s="414">
        <v>1.1499999999999999</v>
      </c>
      <c r="T7" s="93" t="s">
        <v>12</v>
      </c>
      <c r="U7" s="74"/>
      <c r="V7" s="75"/>
      <c r="W7" s="76"/>
      <c r="X7" s="77"/>
      <c r="Y7" s="78"/>
      <c r="Z7" s="78"/>
      <c r="AA7" s="128"/>
      <c r="AB7" s="129"/>
      <c r="AC7" s="69"/>
      <c r="AD7" s="70"/>
      <c r="AE7" s="70"/>
      <c r="AF7" s="71"/>
    </row>
    <row r="8" spans="1:32" ht="23.25" customHeight="1" x14ac:dyDescent="0.2">
      <c r="A8" s="136"/>
      <c r="B8" s="40"/>
      <c r="C8" s="144"/>
      <c r="D8" s="145"/>
      <c r="E8" s="146"/>
      <c r="F8" s="149"/>
      <c r="G8" s="149"/>
      <c r="H8" s="68"/>
      <c r="I8" s="67"/>
      <c r="J8" s="59"/>
      <c r="K8" s="40"/>
      <c r="L8" s="40"/>
      <c r="M8" s="40"/>
      <c r="N8" s="40"/>
      <c r="O8" s="40"/>
      <c r="P8" s="40"/>
      <c r="Q8" s="40"/>
      <c r="R8" s="40"/>
      <c r="S8" s="40"/>
      <c r="T8" s="73"/>
      <c r="U8" s="74"/>
      <c r="V8" s="75"/>
      <c r="W8" s="76"/>
      <c r="X8" s="77"/>
      <c r="Y8" s="78"/>
      <c r="Z8" s="78"/>
      <c r="AA8" s="128"/>
      <c r="AB8" s="129"/>
      <c r="AC8" s="69"/>
      <c r="AD8" s="70"/>
      <c r="AE8" s="70"/>
      <c r="AF8" s="71"/>
    </row>
    <row r="9" spans="1:32" ht="23.25" customHeight="1" x14ac:dyDescent="0.2">
      <c r="A9" s="136"/>
      <c r="B9" s="38" t="s">
        <v>13</v>
      </c>
      <c r="C9" s="117" t="s">
        <v>14</v>
      </c>
      <c r="D9" s="118"/>
      <c r="E9" s="119"/>
      <c r="F9" s="124" t="s">
        <v>39</v>
      </c>
      <c r="G9" s="125"/>
      <c r="H9" s="66" t="s">
        <v>156</v>
      </c>
      <c r="I9" s="67"/>
      <c r="J9" s="55">
        <v>0</v>
      </c>
      <c r="K9" s="57">
        <v>10</v>
      </c>
      <c r="L9" s="57">
        <v>20</v>
      </c>
      <c r="M9" s="79">
        <v>30</v>
      </c>
      <c r="N9" s="57">
        <v>40</v>
      </c>
      <c r="O9" s="81">
        <v>50</v>
      </c>
      <c r="P9" s="83">
        <v>60</v>
      </c>
      <c r="Q9" s="57">
        <v>70</v>
      </c>
      <c r="R9" s="57">
        <v>80</v>
      </c>
      <c r="S9" s="57">
        <v>90</v>
      </c>
      <c r="T9" s="72">
        <v>100</v>
      </c>
      <c r="U9" s="74"/>
      <c r="V9" s="75"/>
      <c r="W9" s="76">
        <v>0.2</v>
      </c>
      <c r="X9" s="77"/>
      <c r="Y9" s="78">
        <f>U9*W9</f>
        <v>0</v>
      </c>
      <c r="Z9" s="78"/>
      <c r="AA9" s="128"/>
      <c r="AB9" s="129"/>
      <c r="AC9" s="69"/>
      <c r="AD9" s="70"/>
      <c r="AE9" s="70"/>
      <c r="AF9" s="71"/>
    </row>
    <row r="10" spans="1:32" ht="23.25" customHeight="1" x14ac:dyDescent="0.2">
      <c r="A10" s="136"/>
      <c r="B10" s="39"/>
      <c r="C10" s="120"/>
      <c r="D10" s="121"/>
      <c r="E10" s="122"/>
      <c r="F10" s="125"/>
      <c r="G10" s="125"/>
      <c r="H10" s="68"/>
      <c r="I10" s="67"/>
      <c r="J10" s="56"/>
      <c r="K10" s="40"/>
      <c r="L10" s="40"/>
      <c r="M10" s="80"/>
      <c r="N10" s="40"/>
      <c r="O10" s="82"/>
      <c r="P10" s="40"/>
      <c r="Q10" s="40"/>
      <c r="R10" s="40"/>
      <c r="S10" s="40"/>
      <c r="T10" s="73"/>
      <c r="U10" s="74"/>
      <c r="V10" s="75"/>
      <c r="W10" s="76"/>
      <c r="X10" s="77"/>
      <c r="Y10" s="78"/>
      <c r="Z10" s="78"/>
      <c r="AA10" s="128"/>
      <c r="AB10" s="129"/>
      <c r="AC10" s="69"/>
      <c r="AD10" s="70"/>
      <c r="AE10" s="70"/>
      <c r="AF10" s="71"/>
    </row>
    <row r="11" spans="1:32" ht="23.25" customHeight="1" x14ac:dyDescent="0.2">
      <c r="A11" s="136"/>
      <c r="B11" s="39"/>
      <c r="C11" s="120"/>
      <c r="D11" s="121"/>
      <c r="E11" s="122"/>
      <c r="F11" s="125"/>
      <c r="G11" s="125"/>
      <c r="H11" s="68"/>
      <c r="I11" s="67"/>
      <c r="J11" s="58" t="s">
        <v>171</v>
      </c>
      <c r="K11" s="414">
        <v>0.5</v>
      </c>
      <c r="L11" s="414">
        <v>0.6</v>
      </c>
      <c r="M11" s="414">
        <v>0.7</v>
      </c>
      <c r="N11" s="414">
        <v>0.8</v>
      </c>
      <c r="O11" s="414">
        <v>0.9</v>
      </c>
      <c r="P11" s="94">
        <v>1</v>
      </c>
      <c r="Q11" s="414">
        <v>1.5</v>
      </c>
      <c r="R11" s="414">
        <v>2</v>
      </c>
      <c r="S11" s="414">
        <v>2.5</v>
      </c>
      <c r="T11" s="93" t="s">
        <v>15</v>
      </c>
      <c r="U11" s="74"/>
      <c r="V11" s="75"/>
      <c r="W11" s="76"/>
      <c r="X11" s="77"/>
      <c r="Y11" s="78"/>
      <c r="Z11" s="78"/>
      <c r="AA11" s="128"/>
      <c r="AB11" s="129"/>
      <c r="AC11" s="69"/>
      <c r="AD11" s="70"/>
      <c r="AE11" s="70"/>
      <c r="AF11" s="71"/>
    </row>
    <row r="12" spans="1:32" ht="23.25" customHeight="1" x14ac:dyDescent="0.2">
      <c r="A12" s="136"/>
      <c r="B12" s="40"/>
      <c r="C12" s="80"/>
      <c r="D12" s="123"/>
      <c r="E12" s="82"/>
      <c r="F12" s="125"/>
      <c r="G12" s="125"/>
      <c r="H12" s="68"/>
      <c r="I12" s="67"/>
      <c r="J12" s="59"/>
      <c r="K12" s="40"/>
      <c r="L12" s="40"/>
      <c r="M12" s="40"/>
      <c r="N12" s="39"/>
      <c r="O12" s="40"/>
      <c r="P12" s="40"/>
      <c r="Q12" s="40"/>
      <c r="R12" s="40"/>
      <c r="S12" s="40"/>
      <c r="T12" s="73"/>
      <c r="U12" s="74"/>
      <c r="V12" s="75"/>
      <c r="W12" s="76"/>
      <c r="X12" s="77"/>
      <c r="Y12" s="78"/>
      <c r="Z12" s="78"/>
      <c r="AA12" s="128"/>
      <c r="AB12" s="129"/>
      <c r="AC12" s="69"/>
      <c r="AD12" s="70"/>
      <c r="AE12" s="70"/>
      <c r="AF12" s="71"/>
    </row>
    <row r="13" spans="1:32" ht="23.25" customHeight="1" x14ac:dyDescent="0.2">
      <c r="A13" s="136"/>
      <c r="B13" s="61" t="s">
        <v>16</v>
      </c>
      <c r="C13" s="41" t="s">
        <v>17</v>
      </c>
      <c r="D13" s="42"/>
      <c r="E13" s="43"/>
      <c r="F13" s="64" t="s">
        <v>142</v>
      </c>
      <c r="G13" s="65"/>
      <c r="H13" s="66" t="s">
        <v>156</v>
      </c>
      <c r="I13" s="67"/>
      <c r="J13" s="55">
        <v>0</v>
      </c>
      <c r="K13" s="57">
        <v>10</v>
      </c>
      <c r="L13" s="57">
        <v>20</v>
      </c>
      <c r="M13" s="57">
        <v>30</v>
      </c>
      <c r="N13" s="57">
        <v>40</v>
      </c>
      <c r="O13" s="57">
        <v>50</v>
      </c>
      <c r="P13" s="83">
        <v>60</v>
      </c>
      <c r="Q13" s="57">
        <v>70</v>
      </c>
      <c r="R13" s="86">
        <v>80</v>
      </c>
      <c r="S13" s="86">
        <v>90</v>
      </c>
      <c r="T13" s="87">
        <v>100</v>
      </c>
      <c r="U13" s="74"/>
      <c r="V13" s="75"/>
      <c r="W13" s="76">
        <v>0.1</v>
      </c>
      <c r="X13" s="77"/>
      <c r="Y13" s="78">
        <f>U13*W13</f>
        <v>0</v>
      </c>
      <c r="Z13" s="78"/>
      <c r="AA13" s="128"/>
      <c r="AB13" s="129"/>
      <c r="AC13" s="69"/>
      <c r="AD13" s="70"/>
      <c r="AE13" s="70"/>
      <c r="AF13" s="71"/>
    </row>
    <row r="14" spans="1:32" ht="23.25" customHeight="1" x14ac:dyDescent="0.2">
      <c r="A14" s="136"/>
      <c r="B14" s="62"/>
      <c r="C14" s="44"/>
      <c r="D14" s="45"/>
      <c r="E14" s="46"/>
      <c r="F14" s="65"/>
      <c r="G14" s="65"/>
      <c r="H14" s="68"/>
      <c r="I14" s="67"/>
      <c r="J14" s="56"/>
      <c r="K14" s="40"/>
      <c r="L14" s="40"/>
      <c r="M14" s="40"/>
      <c r="N14" s="40"/>
      <c r="O14" s="40"/>
      <c r="P14" s="40"/>
      <c r="Q14" s="40"/>
      <c r="R14" s="40"/>
      <c r="S14" s="40"/>
      <c r="T14" s="73"/>
      <c r="U14" s="74"/>
      <c r="V14" s="75"/>
      <c r="W14" s="76"/>
      <c r="X14" s="77"/>
      <c r="Y14" s="78"/>
      <c r="Z14" s="78"/>
      <c r="AA14" s="128"/>
      <c r="AB14" s="129"/>
      <c r="AC14" s="69"/>
      <c r="AD14" s="70"/>
      <c r="AE14" s="70"/>
      <c r="AF14" s="71"/>
    </row>
    <row r="15" spans="1:32" ht="23.25" customHeight="1" x14ac:dyDescent="0.2">
      <c r="A15" s="136"/>
      <c r="B15" s="62"/>
      <c r="C15" s="44"/>
      <c r="D15" s="45"/>
      <c r="E15" s="46"/>
      <c r="F15" s="65"/>
      <c r="G15" s="65"/>
      <c r="H15" s="68"/>
      <c r="I15" s="67"/>
      <c r="J15" s="58" t="s">
        <v>18</v>
      </c>
      <c r="K15" s="60" t="s">
        <v>162</v>
      </c>
      <c r="L15" s="60" t="s">
        <v>163</v>
      </c>
      <c r="M15" s="60" t="s">
        <v>164</v>
      </c>
      <c r="N15" s="60" t="s">
        <v>165</v>
      </c>
      <c r="O15" s="60" t="s">
        <v>166</v>
      </c>
      <c r="P15" s="85" t="s">
        <v>167</v>
      </c>
      <c r="Q15" s="60" t="s">
        <v>168</v>
      </c>
      <c r="R15" s="60" t="s">
        <v>169</v>
      </c>
      <c r="S15" s="60" t="s">
        <v>170</v>
      </c>
      <c r="T15" s="88" t="s">
        <v>19</v>
      </c>
      <c r="U15" s="74"/>
      <c r="V15" s="75"/>
      <c r="W15" s="76"/>
      <c r="X15" s="77"/>
      <c r="Y15" s="78"/>
      <c r="Z15" s="78"/>
      <c r="AA15" s="128"/>
      <c r="AB15" s="129"/>
      <c r="AC15" s="69"/>
      <c r="AD15" s="70"/>
      <c r="AE15" s="70"/>
      <c r="AF15" s="71"/>
    </row>
    <row r="16" spans="1:32" ht="23.25" customHeight="1" x14ac:dyDescent="0.2">
      <c r="A16" s="136"/>
      <c r="B16" s="63"/>
      <c r="C16" s="47"/>
      <c r="D16" s="48"/>
      <c r="E16" s="49"/>
      <c r="F16" s="65"/>
      <c r="G16" s="65"/>
      <c r="H16" s="68"/>
      <c r="I16" s="67"/>
      <c r="J16" s="59"/>
      <c r="K16" s="40"/>
      <c r="L16" s="40"/>
      <c r="M16" s="40"/>
      <c r="N16" s="40"/>
      <c r="O16" s="40"/>
      <c r="P16" s="40"/>
      <c r="Q16" s="40"/>
      <c r="R16" s="40"/>
      <c r="S16" s="40"/>
      <c r="T16" s="73"/>
      <c r="U16" s="74"/>
      <c r="V16" s="75"/>
      <c r="W16" s="76"/>
      <c r="X16" s="77"/>
      <c r="Y16" s="78"/>
      <c r="Z16" s="78"/>
      <c r="AA16" s="128"/>
      <c r="AB16" s="129"/>
      <c r="AC16" s="69"/>
      <c r="AD16" s="70"/>
      <c r="AE16" s="70"/>
      <c r="AF16" s="71"/>
    </row>
    <row r="17" spans="1:32" ht="23.25" customHeight="1" x14ac:dyDescent="0.2">
      <c r="A17" s="136"/>
      <c r="B17" s="38" t="s">
        <v>20</v>
      </c>
      <c r="C17" s="41" t="s">
        <v>21</v>
      </c>
      <c r="D17" s="42"/>
      <c r="E17" s="43"/>
      <c r="F17" s="50" t="s">
        <v>141</v>
      </c>
      <c r="G17" s="51"/>
      <c r="H17" s="52" t="s">
        <v>155</v>
      </c>
      <c r="I17" s="53"/>
      <c r="J17" s="55">
        <v>0</v>
      </c>
      <c r="K17" s="57">
        <v>10</v>
      </c>
      <c r="L17" s="57">
        <v>20</v>
      </c>
      <c r="M17" s="79">
        <v>30</v>
      </c>
      <c r="N17" s="57">
        <v>40</v>
      </c>
      <c r="O17" s="81">
        <v>50</v>
      </c>
      <c r="P17" s="83">
        <v>60</v>
      </c>
      <c r="Q17" s="57">
        <v>70</v>
      </c>
      <c r="R17" s="57">
        <v>80</v>
      </c>
      <c r="S17" s="57">
        <v>90</v>
      </c>
      <c r="T17" s="72">
        <v>100</v>
      </c>
      <c r="U17" s="74"/>
      <c r="V17" s="75"/>
      <c r="W17" s="76">
        <v>0.3</v>
      </c>
      <c r="X17" s="77"/>
      <c r="Y17" s="78">
        <f>U17*W17</f>
        <v>0</v>
      </c>
      <c r="Z17" s="78"/>
      <c r="AA17" s="128"/>
      <c r="AB17" s="129"/>
      <c r="AC17" s="69"/>
      <c r="AD17" s="70"/>
      <c r="AE17" s="70"/>
      <c r="AF17" s="71"/>
    </row>
    <row r="18" spans="1:32" ht="23.25" customHeight="1" x14ac:dyDescent="0.2">
      <c r="A18" s="136"/>
      <c r="B18" s="39"/>
      <c r="C18" s="44"/>
      <c r="D18" s="45"/>
      <c r="E18" s="46"/>
      <c r="F18" s="51"/>
      <c r="G18" s="51"/>
      <c r="H18" s="54"/>
      <c r="I18" s="53"/>
      <c r="J18" s="56"/>
      <c r="K18" s="40"/>
      <c r="L18" s="40"/>
      <c r="M18" s="80"/>
      <c r="N18" s="40"/>
      <c r="O18" s="82"/>
      <c r="P18" s="40"/>
      <c r="Q18" s="40"/>
      <c r="R18" s="40"/>
      <c r="S18" s="40"/>
      <c r="T18" s="73"/>
      <c r="U18" s="74"/>
      <c r="V18" s="75"/>
      <c r="W18" s="76"/>
      <c r="X18" s="77"/>
      <c r="Y18" s="78"/>
      <c r="Z18" s="78"/>
      <c r="AA18" s="128"/>
      <c r="AB18" s="129"/>
      <c r="AC18" s="69"/>
      <c r="AD18" s="70"/>
      <c r="AE18" s="70"/>
      <c r="AF18" s="71"/>
    </row>
    <row r="19" spans="1:32" ht="23.25" customHeight="1" x14ac:dyDescent="0.2">
      <c r="A19" s="136"/>
      <c r="B19" s="39"/>
      <c r="C19" s="44"/>
      <c r="D19" s="45"/>
      <c r="E19" s="46"/>
      <c r="F19" s="51"/>
      <c r="G19" s="51"/>
      <c r="H19" s="54"/>
      <c r="I19" s="53"/>
      <c r="J19" s="58" t="s">
        <v>162</v>
      </c>
      <c r="K19" s="60" t="s">
        <v>163</v>
      </c>
      <c r="L19" s="60" t="s">
        <v>164</v>
      </c>
      <c r="M19" s="60" t="s">
        <v>165</v>
      </c>
      <c r="N19" s="60" t="s">
        <v>166</v>
      </c>
      <c r="O19" s="60" t="s">
        <v>167</v>
      </c>
      <c r="P19" s="85" t="s">
        <v>168</v>
      </c>
      <c r="Q19" s="412">
        <v>0.8</v>
      </c>
      <c r="R19" s="412">
        <v>0.9</v>
      </c>
      <c r="S19" s="412">
        <v>0.95</v>
      </c>
      <c r="T19" s="413">
        <v>1</v>
      </c>
      <c r="U19" s="74"/>
      <c r="V19" s="75"/>
      <c r="W19" s="76"/>
      <c r="X19" s="77"/>
      <c r="Y19" s="78"/>
      <c r="Z19" s="78"/>
      <c r="AA19" s="128"/>
      <c r="AB19" s="129"/>
      <c r="AC19" s="69"/>
      <c r="AD19" s="70"/>
      <c r="AE19" s="70"/>
      <c r="AF19" s="71"/>
    </row>
    <row r="20" spans="1:32" ht="23.25" customHeight="1" x14ac:dyDescent="0.2">
      <c r="A20" s="136"/>
      <c r="B20" s="40"/>
      <c r="C20" s="47"/>
      <c r="D20" s="48"/>
      <c r="E20" s="49"/>
      <c r="F20" s="51"/>
      <c r="G20" s="51"/>
      <c r="H20" s="54"/>
      <c r="I20" s="53"/>
      <c r="J20" s="59"/>
      <c r="K20" s="40"/>
      <c r="L20" s="40"/>
      <c r="M20" s="40"/>
      <c r="N20" s="40"/>
      <c r="O20" s="40"/>
      <c r="P20" s="40"/>
      <c r="Q20" s="84"/>
      <c r="R20" s="84"/>
      <c r="S20" s="84"/>
      <c r="T20" s="169"/>
      <c r="U20" s="74"/>
      <c r="V20" s="75"/>
      <c r="W20" s="76"/>
      <c r="X20" s="77"/>
      <c r="Y20" s="78"/>
      <c r="Z20" s="78"/>
      <c r="AA20" s="128"/>
      <c r="AB20" s="129"/>
      <c r="AC20" s="69"/>
      <c r="AD20" s="70"/>
      <c r="AE20" s="70"/>
      <c r="AF20" s="71"/>
    </row>
    <row r="22" spans="1:32" x14ac:dyDescent="0.2">
      <c r="B22" s="27" t="s">
        <v>139</v>
      </c>
      <c r="C22" s="27" t="s">
        <v>127</v>
      </c>
      <c r="D22" s="27" t="s">
        <v>128</v>
      </c>
      <c r="E22" s="27" t="s">
        <v>129</v>
      </c>
      <c r="F22" s="27" t="s">
        <v>130</v>
      </c>
      <c r="G22" s="27" t="s">
        <v>131</v>
      </c>
      <c r="H22" s="27" t="s">
        <v>132</v>
      </c>
      <c r="I22" s="27" t="s">
        <v>133</v>
      </c>
      <c r="J22" s="27" t="s">
        <v>134</v>
      </c>
      <c r="K22" s="27" t="s">
        <v>135</v>
      </c>
      <c r="L22" s="27" t="s">
        <v>136</v>
      </c>
      <c r="M22" s="27" t="s">
        <v>137</v>
      </c>
      <c r="N22" s="27" t="s">
        <v>138</v>
      </c>
    </row>
    <row r="23" spans="1:32" x14ac:dyDescent="0.2">
      <c r="B23" t="s">
        <v>50</v>
      </c>
      <c r="C23">
        <v>1212750</v>
      </c>
      <c r="D23">
        <v>1131900</v>
      </c>
      <c r="E23">
        <v>1212750</v>
      </c>
      <c r="F23">
        <v>1148070</v>
      </c>
      <c r="G23">
        <v>1212750</v>
      </c>
      <c r="H23">
        <v>1212750</v>
      </c>
      <c r="I23">
        <v>1196580</v>
      </c>
      <c r="J23">
        <v>1212750</v>
      </c>
      <c r="K23">
        <v>1180410</v>
      </c>
      <c r="L23">
        <v>1212750</v>
      </c>
      <c r="M23">
        <v>1212750</v>
      </c>
      <c r="N23">
        <v>1350195</v>
      </c>
    </row>
    <row r="24" spans="1:32" x14ac:dyDescent="0.2">
      <c r="B24" t="s">
        <v>51</v>
      </c>
      <c r="C24">
        <v>4514816</v>
      </c>
      <c r="D24">
        <v>4109188</v>
      </c>
      <c r="E24">
        <v>4179732</v>
      </c>
      <c r="F24">
        <v>3906374</v>
      </c>
      <c r="G24">
        <v>4109188</v>
      </c>
      <c r="H24">
        <v>3994554</v>
      </c>
      <c r="I24">
        <v>4188550</v>
      </c>
      <c r="J24">
        <v>4241458</v>
      </c>
      <c r="K24">
        <v>4364910</v>
      </c>
      <c r="L24">
        <v>4109188</v>
      </c>
      <c r="M24">
        <v>3994554</v>
      </c>
      <c r="N24">
        <v>4259094</v>
      </c>
    </row>
    <row r="25" spans="1:32" x14ac:dyDescent="0.2">
      <c r="B25" t="s">
        <v>52</v>
      </c>
      <c r="C25">
        <v>1592745</v>
      </c>
      <c r="D25">
        <v>1617000</v>
      </c>
      <c r="E25">
        <v>1495725</v>
      </c>
      <c r="F25">
        <v>1164240</v>
      </c>
      <c r="G25">
        <v>1439130</v>
      </c>
      <c r="H25">
        <v>1463385</v>
      </c>
      <c r="I25">
        <v>1584660</v>
      </c>
      <c r="J25">
        <v>1641255</v>
      </c>
      <c r="K25">
        <v>1576575</v>
      </c>
      <c r="L25">
        <v>1487640</v>
      </c>
      <c r="M25">
        <v>1422960</v>
      </c>
      <c r="N25">
        <v>1447215</v>
      </c>
    </row>
    <row r="26" spans="1:32" x14ac:dyDescent="0.2">
      <c r="B26" t="s">
        <v>53</v>
      </c>
      <c r="C26">
        <v>2295000</v>
      </c>
      <c r="D26">
        <v>2295000</v>
      </c>
      <c r="E26">
        <v>2295000</v>
      </c>
      <c r="F26">
        <v>2295000</v>
      </c>
      <c r="G26">
        <v>2295000</v>
      </c>
      <c r="H26">
        <v>2295000</v>
      </c>
      <c r="I26">
        <v>2439500</v>
      </c>
      <c r="J26">
        <v>2397000</v>
      </c>
      <c r="K26">
        <v>2303500</v>
      </c>
      <c r="L26">
        <v>2295000</v>
      </c>
      <c r="M26">
        <v>2227000</v>
      </c>
      <c r="N26">
        <v>2320500</v>
      </c>
    </row>
    <row r="27" spans="1:32" x14ac:dyDescent="0.2">
      <c r="B27" t="s">
        <v>54</v>
      </c>
      <c r="C27">
        <v>400000</v>
      </c>
      <c r="D27">
        <v>500000</v>
      </c>
      <c r="E27">
        <v>600000</v>
      </c>
      <c r="F27">
        <v>700000</v>
      </c>
      <c r="G27">
        <v>800000</v>
      </c>
      <c r="H27">
        <v>900000</v>
      </c>
      <c r="I27">
        <v>1000000</v>
      </c>
      <c r="J27">
        <v>1100000</v>
      </c>
      <c r="K27">
        <v>1200000</v>
      </c>
      <c r="L27">
        <v>1300000</v>
      </c>
      <c r="M27">
        <v>1400000</v>
      </c>
      <c r="N27">
        <v>1500000</v>
      </c>
    </row>
    <row r="28" spans="1:32" ht="22" x14ac:dyDescent="0.2">
      <c r="B28" s="34" t="s">
        <v>55</v>
      </c>
      <c r="C28">
        <v>2225344</v>
      </c>
      <c r="D28">
        <v>1985544</v>
      </c>
      <c r="E28">
        <v>2033504</v>
      </c>
      <c r="F28">
        <v>2110240</v>
      </c>
      <c r="G28">
        <v>2110240</v>
      </c>
      <c r="H28">
        <v>2110240</v>
      </c>
      <c r="I28">
        <v>2155716</v>
      </c>
      <c r="J28">
        <v>2211228</v>
      </c>
      <c r="K28">
        <v>2201976</v>
      </c>
      <c r="L28">
        <v>2035440</v>
      </c>
      <c r="M28">
        <v>2035440</v>
      </c>
      <c r="N28">
        <v>2303748</v>
      </c>
    </row>
    <row r="29" spans="1:32" x14ac:dyDescent="0.2">
      <c r="B29" s="34" t="s">
        <v>56</v>
      </c>
      <c r="C29">
        <v>1290000</v>
      </c>
      <c r="D29">
        <v>1290000</v>
      </c>
      <c r="E29">
        <v>1290000</v>
      </c>
      <c r="F29">
        <v>1290000</v>
      </c>
      <c r="G29">
        <v>1290000</v>
      </c>
      <c r="H29">
        <v>1290000</v>
      </c>
      <c r="I29">
        <v>1290000</v>
      </c>
      <c r="J29">
        <v>1290000</v>
      </c>
      <c r="K29">
        <v>1298600</v>
      </c>
      <c r="L29">
        <v>1376000</v>
      </c>
      <c r="M29">
        <v>1376000</v>
      </c>
      <c r="N29">
        <v>1307200</v>
      </c>
    </row>
    <row r="30" spans="1:32" ht="22" x14ac:dyDescent="0.2">
      <c r="B30" s="34" t="s">
        <v>57</v>
      </c>
      <c r="C30">
        <v>1398704</v>
      </c>
      <c r="D30">
        <v>1260674</v>
      </c>
      <c r="E30">
        <v>1288280</v>
      </c>
      <c r="F30">
        <v>1131846</v>
      </c>
      <c r="G30">
        <v>1214664</v>
      </c>
      <c r="H30">
        <v>1260674</v>
      </c>
      <c r="I30">
        <v>1361896</v>
      </c>
      <c r="J30">
        <v>1058230</v>
      </c>
      <c r="K30">
        <v>1306684</v>
      </c>
      <c r="L30">
        <v>1159452</v>
      </c>
      <c r="M30">
        <v>1214664</v>
      </c>
      <c r="N30">
        <v>1187058</v>
      </c>
    </row>
    <row r="31" spans="1:32" ht="22" x14ac:dyDescent="0.2">
      <c r="B31" s="34" t="s">
        <v>58</v>
      </c>
      <c r="C31">
        <v>5810148</v>
      </c>
      <c r="D31">
        <v>5430636</v>
      </c>
      <c r="E31">
        <v>5638464</v>
      </c>
      <c r="F31">
        <v>5385456</v>
      </c>
      <c r="G31">
        <v>5213772</v>
      </c>
      <c r="H31">
        <v>5430636</v>
      </c>
      <c r="I31">
        <v>6027012</v>
      </c>
      <c r="J31">
        <v>6108336</v>
      </c>
      <c r="K31">
        <v>5783040</v>
      </c>
      <c r="L31">
        <v>5421600</v>
      </c>
      <c r="M31">
        <v>5421600</v>
      </c>
      <c r="N31">
        <v>5710752</v>
      </c>
    </row>
    <row r="32" spans="1:32" x14ac:dyDescent="0.2">
      <c r="B32" t="s">
        <v>59</v>
      </c>
      <c r="C32">
        <v>2074000</v>
      </c>
      <c r="D32">
        <v>2133500</v>
      </c>
      <c r="E32">
        <v>2252500</v>
      </c>
      <c r="F32">
        <v>2006000</v>
      </c>
      <c r="G32">
        <v>1972000</v>
      </c>
      <c r="H32">
        <v>2193000</v>
      </c>
      <c r="I32">
        <v>2167500</v>
      </c>
      <c r="J32">
        <v>2218500</v>
      </c>
      <c r="K32">
        <v>2482000</v>
      </c>
      <c r="L32">
        <v>2269500</v>
      </c>
      <c r="M32">
        <v>2278000</v>
      </c>
      <c r="N32">
        <v>2422500</v>
      </c>
    </row>
    <row r="33" spans="2:14" x14ac:dyDescent="0.2">
      <c r="B33" t="s">
        <v>60</v>
      </c>
      <c r="C33">
        <v>708260</v>
      </c>
      <c r="D33">
        <v>708260</v>
      </c>
      <c r="E33">
        <v>708260</v>
      </c>
      <c r="F33">
        <v>708260</v>
      </c>
      <c r="G33">
        <v>1001682</v>
      </c>
      <c r="H33">
        <v>1001682</v>
      </c>
      <c r="I33">
        <v>1001682</v>
      </c>
      <c r="J33">
        <v>1001682</v>
      </c>
      <c r="K33">
        <v>1001682</v>
      </c>
      <c r="L33">
        <v>1001682</v>
      </c>
      <c r="M33">
        <v>1001682</v>
      </c>
      <c r="N33">
        <v>1001682</v>
      </c>
    </row>
    <row r="34" spans="2:14" x14ac:dyDescent="0.2">
      <c r="B34" t="s">
        <v>61</v>
      </c>
      <c r="C34">
        <v>5693483</v>
      </c>
      <c r="D34">
        <v>4556853</v>
      </c>
      <c r="E34">
        <v>5125168</v>
      </c>
      <c r="F34">
        <v>5125168</v>
      </c>
      <c r="G34">
        <v>5404159</v>
      </c>
      <c r="H34">
        <v>5404159</v>
      </c>
      <c r="I34">
        <v>5693483</v>
      </c>
      <c r="J34">
        <v>5693483</v>
      </c>
      <c r="K34">
        <v>5125168</v>
      </c>
      <c r="L34">
        <v>5125168</v>
      </c>
      <c r="M34">
        <v>5125168</v>
      </c>
      <c r="N34">
        <v>5693483</v>
      </c>
    </row>
    <row r="35" spans="2:14" x14ac:dyDescent="0.2">
      <c r="B35" t="s">
        <v>62</v>
      </c>
      <c r="C35">
        <v>1585359</v>
      </c>
      <c r="D35">
        <v>1265310</v>
      </c>
      <c r="E35">
        <v>1429056</v>
      </c>
      <c r="F35">
        <v>1429056</v>
      </c>
      <c r="G35">
        <v>1503486</v>
      </c>
      <c r="H35">
        <v>1503486</v>
      </c>
      <c r="I35">
        <v>1585359</v>
      </c>
      <c r="J35">
        <v>1585359</v>
      </c>
      <c r="K35">
        <v>1429056</v>
      </c>
      <c r="L35">
        <v>1488600</v>
      </c>
      <c r="M35">
        <v>1488600</v>
      </c>
      <c r="N35">
        <v>1585359</v>
      </c>
    </row>
    <row r="36" spans="2:14" x14ac:dyDescent="0.2">
      <c r="B36" t="s">
        <v>63</v>
      </c>
      <c r="C36">
        <v>300000</v>
      </c>
      <c r="D36">
        <v>400000</v>
      </c>
      <c r="E36">
        <v>500000</v>
      </c>
      <c r="F36">
        <v>600000</v>
      </c>
      <c r="G36">
        <v>700000</v>
      </c>
      <c r="H36">
        <v>800000</v>
      </c>
      <c r="I36">
        <v>900000</v>
      </c>
      <c r="J36">
        <v>1000000</v>
      </c>
      <c r="K36">
        <v>1100000</v>
      </c>
      <c r="L36">
        <v>1200000</v>
      </c>
      <c r="M36">
        <v>1300000</v>
      </c>
      <c r="N36">
        <v>1400000</v>
      </c>
    </row>
    <row r="37" spans="2:14" x14ac:dyDescent="0.2">
      <c r="B37" t="s">
        <v>64</v>
      </c>
      <c r="C37">
        <v>2745080</v>
      </c>
      <c r="D37">
        <v>2006020</v>
      </c>
      <c r="E37">
        <v>2745080</v>
      </c>
      <c r="F37">
        <v>2745080</v>
      </c>
      <c r="G37">
        <v>2745080</v>
      </c>
      <c r="H37">
        <v>2745080</v>
      </c>
      <c r="I37">
        <v>2745080</v>
      </c>
      <c r="J37">
        <v>2745080</v>
      </c>
      <c r="K37">
        <v>2745080</v>
      </c>
      <c r="L37">
        <v>2745080</v>
      </c>
      <c r="M37">
        <v>2745080</v>
      </c>
      <c r="N37">
        <v>2745080</v>
      </c>
    </row>
    <row r="38" spans="2:14" x14ac:dyDescent="0.2">
      <c r="B38" t="s">
        <v>65</v>
      </c>
      <c r="C38">
        <v>1906560</v>
      </c>
      <c r="D38">
        <v>1529220</v>
      </c>
      <c r="E38">
        <v>1717890</v>
      </c>
      <c r="F38">
        <v>1717890</v>
      </c>
      <c r="G38">
        <v>1807260</v>
      </c>
      <c r="H38">
        <v>1807260</v>
      </c>
      <c r="I38">
        <v>1906560</v>
      </c>
      <c r="J38">
        <v>1906560</v>
      </c>
      <c r="K38">
        <v>1717890</v>
      </c>
      <c r="L38">
        <v>1717890</v>
      </c>
      <c r="M38">
        <v>1717890</v>
      </c>
      <c r="N38">
        <v>1906560</v>
      </c>
    </row>
    <row r="39" spans="2:14" x14ac:dyDescent="0.2">
      <c r="B39" t="s">
        <v>66</v>
      </c>
      <c r="C39">
        <v>2374520</v>
      </c>
      <c r="D39">
        <v>2374520</v>
      </c>
      <c r="E39">
        <v>2374520</v>
      </c>
      <c r="F39">
        <v>2374520</v>
      </c>
      <c r="G39">
        <v>2374520</v>
      </c>
      <c r="H39">
        <v>2374520</v>
      </c>
      <c r="I39">
        <v>2374520</v>
      </c>
      <c r="J39">
        <v>2374520</v>
      </c>
      <c r="K39">
        <v>2374520</v>
      </c>
      <c r="L39">
        <v>2374520</v>
      </c>
      <c r="M39">
        <v>2374520</v>
      </c>
      <c r="N39">
        <v>2374520</v>
      </c>
    </row>
    <row r="40" spans="2:14" x14ac:dyDescent="0.2">
      <c r="B40" t="s">
        <v>67</v>
      </c>
      <c r="C40">
        <v>3302370</v>
      </c>
      <c r="D40">
        <v>2641896</v>
      </c>
      <c r="E40">
        <v>2976210</v>
      </c>
      <c r="F40">
        <v>2976210</v>
      </c>
      <c r="G40">
        <v>3139290</v>
      </c>
      <c r="H40">
        <v>3139290</v>
      </c>
      <c r="I40">
        <v>3302370</v>
      </c>
      <c r="J40">
        <v>3302370</v>
      </c>
      <c r="K40">
        <v>2976210</v>
      </c>
      <c r="L40">
        <v>2976210</v>
      </c>
      <c r="M40">
        <v>2976210</v>
      </c>
      <c r="N40">
        <v>3302370</v>
      </c>
    </row>
    <row r="41" spans="2:14" x14ac:dyDescent="0.2">
      <c r="B41" t="s">
        <v>68</v>
      </c>
      <c r="C41">
        <v>1385368</v>
      </c>
      <c r="D41">
        <v>1323600</v>
      </c>
      <c r="E41">
        <v>1244184</v>
      </c>
      <c r="F41">
        <v>1244184</v>
      </c>
      <c r="G41">
        <v>1314776</v>
      </c>
      <c r="H41">
        <v>1314776</v>
      </c>
      <c r="I41">
        <v>1385368</v>
      </c>
      <c r="J41">
        <v>1385368</v>
      </c>
      <c r="K41">
        <v>1323600</v>
      </c>
      <c r="L41">
        <v>1323600</v>
      </c>
      <c r="M41">
        <v>1323600</v>
      </c>
      <c r="N41">
        <v>1385368</v>
      </c>
    </row>
    <row r="42" spans="2:14" x14ac:dyDescent="0.2">
      <c r="B42" t="s">
        <v>69</v>
      </c>
      <c r="C42">
        <v>4165284</v>
      </c>
      <c r="D42">
        <v>3336706</v>
      </c>
      <c r="E42">
        <v>3750995</v>
      </c>
      <c r="F42">
        <v>3750995</v>
      </c>
      <c r="G42">
        <v>3952541</v>
      </c>
      <c r="H42">
        <v>3952541</v>
      </c>
      <c r="I42">
        <v>4165284</v>
      </c>
      <c r="J42">
        <v>4165284</v>
      </c>
      <c r="K42">
        <v>3750995</v>
      </c>
      <c r="L42">
        <v>3750995</v>
      </c>
      <c r="M42">
        <v>3750995</v>
      </c>
      <c r="N42">
        <v>4165284</v>
      </c>
    </row>
    <row r="43" spans="2:14" x14ac:dyDescent="0.2">
      <c r="B43" t="s">
        <v>70</v>
      </c>
      <c r="C43">
        <v>2899314</v>
      </c>
      <c r="D43">
        <v>2323356</v>
      </c>
      <c r="E43">
        <v>2606454</v>
      </c>
      <c r="F43">
        <v>2606454</v>
      </c>
      <c r="G43">
        <v>2752884</v>
      </c>
      <c r="H43">
        <v>2752884</v>
      </c>
      <c r="I43">
        <v>2899314</v>
      </c>
      <c r="J43">
        <v>2899314</v>
      </c>
      <c r="K43">
        <v>2606454</v>
      </c>
      <c r="L43">
        <v>2606454</v>
      </c>
      <c r="M43">
        <v>2606454</v>
      </c>
      <c r="N43">
        <v>2899314</v>
      </c>
    </row>
    <row r="44" spans="2:14" x14ac:dyDescent="0.2">
      <c r="B44" t="s">
        <v>71</v>
      </c>
      <c r="C44">
        <v>1794249</v>
      </c>
      <c r="D44">
        <v>1439454</v>
      </c>
      <c r="E44">
        <v>1611783</v>
      </c>
      <c r="F44">
        <v>1611783</v>
      </c>
      <c r="G44">
        <v>1703016</v>
      </c>
      <c r="H44">
        <v>1703016</v>
      </c>
      <c r="I44">
        <v>1794249</v>
      </c>
      <c r="J44">
        <v>1794249</v>
      </c>
      <c r="K44">
        <v>1611783</v>
      </c>
      <c r="L44">
        <v>1611783</v>
      </c>
      <c r="M44">
        <v>1611783</v>
      </c>
      <c r="N44">
        <v>1794249</v>
      </c>
    </row>
    <row r="45" spans="2:14" x14ac:dyDescent="0.2">
      <c r="B45" t="s">
        <v>72</v>
      </c>
      <c r="C45">
        <v>1029470</v>
      </c>
      <c r="D45">
        <v>791900</v>
      </c>
      <c r="E45">
        <v>950280</v>
      </c>
      <c r="F45">
        <v>1069065</v>
      </c>
      <c r="G45">
        <v>1069065</v>
      </c>
      <c r="H45">
        <v>1148255</v>
      </c>
      <c r="I45">
        <v>1267040</v>
      </c>
      <c r="J45">
        <v>1267040</v>
      </c>
      <c r="K45">
        <v>1140336</v>
      </c>
      <c r="L45">
        <v>1140336</v>
      </c>
      <c r="M45">
        <v>1140336</v>
      </c>
      <c r="N45">
        <v>1140336</v>
      </c>
    </row>
    <row r="46" spans="2:14" x14ac:dyDescent="0.2">
      <c r="B46" t="s">
        <v>73</v>
      </c>
      <c r="C46">
        <v>3601400</v>
      </c>
      <c r="D46">
        <v>3617770</v>
      </c>
      <c r="E46">
        <v>3601400</v>
      </c>
      <c r="F46">
        <v>3601400</v>
      </c>
      <c r="G46">
        <v>3601400</v>
      </c>
      <c r="H46">
        <v>3601400</v>
      </c>
      <c r="I46">
        <v>3601400</v>
      </c>
      <c r="J46">
        <v>3601400</v>
      </c>
      <c r="K46">
        <v>3601400</v>
      </c>
      <c r="L46">
        <v>3601400</v>
      </c>
      <c r="M46">
        <v>3601400</v>
      </c>
      <c r="N46">
        <v>3601400</v>
      </c>
    </row>
    <row r="47" spans="2:14" x14ac:dyDescent="0.2">
      <c r="B47" t="s">
        <v>74</v>
      </c>
      <c r="C47">
        <v>6054066</v>
      </c>
      <c r="D47">
        <v>4841343</v>
      </c>
      <c r="E47">
        <v>5452479</v>
      </c>
      <c r="F47">
        <v>5452479</v>
      </c>
      <c r="G47">
        <v>5748498</v>
      </c>
      <c r="H47">
        <v>5748498</v>
      </c>
      <c r="I47">
        <v>6054066</v>
      </c>
      <c r="J47">
        <v>6054066</v>
      </c>
      <c r="K47">
        <v>5452479</v>
      </c>
      <c r="L47">
        <v>5452479</v>
      </c>
      <c r="M47">
        <v>5452479</v>
      </c>
      <c r="N47">
        <v>6054066</v>
      </c>
    </row>
    <row r="48" spans="2:14" x14ac:dyDescent="0.2">
      <c r="B48" t="s">
        <v>75</v>
      </c>
      <c r="C48">
        <v>1320330</v>
      </c>
      <c r="D48">
        <v>1056264</v>
      </c>
      <c r="E48">
        <v>1160290</v>
      </c>
      <c r="F48">
        <v>1200300</v>
      </c>
      <c r="G48">
        <v>1256314</v>
      </c>
      <c r="H48">
        <v>1424356</v>
      </c>
      <c r="I48">
        <v>1584396</v>
      </c>
      <c r="J48">
        <v>1584396</v>
      </c>
      <c r="K48">
        <v>1360340</v>
      </c>
      <c r="L48">
        <v>1120280</v>
      </c>
      <c r="M48">
        <v>1200300</v>
      </c>
      <c r="N48">
        <v>1280320</v>
      </c>
    </row>
    <row r="49" spans="2:14" x14ac:dyDescent="0.2">
      <c r="B49" t="s">
        <v>76</v>
      </c>
      <c r="E49">
        <v>200000</v>
      </c>
      <c r="F49">
        <v>300000</v>
      </c>
      <c r="G49">
        <v>400000</v>
      </c>
      <c r="H49">
        <v>500000</v>
      </c>
      <c r="I49">
        <v>600000</v>
      </c>
      <c r="J49">
        <v>700000</v>
      </c>
      <c r="K49">
        <v>800000</v>
      </c>
      <c r="L49">
        <v>900000</v>
      </c>
      <c r="M49">
        <v>1000000</v>
      </c>
      <c r="N49">
        <v>1100000</v>
      </c>
    </row>
    <row r="50" spans="2:14" x14ac:dyDescent="0.2">
      <c r="B50" t="s">
        <v>77</v>
      </c>
      <c r="C50">
        <v>1720355</v>
      </c>
      <c r="D50">
        <v>1374555</v>
      </c>
      <c r="E50">
        <v>1547455</v>
      </c>
      <c r="F50">
        <v>1547455</v>
      </c>
      <c r="G50">
        <v>1633905</v>
      </c>
      <c r="H50">
        <v>1633905</v>
      </c>
      <c r="I50">
        <v>1720355</v>
      </c>
      <c r="J50">
        <v>1720355</v>
      </c>
      <c r="K50">
        <v>1547455</v>
      </c>
      <c r="L50">
        <v>1547455</v>
      </c>
      <c r="M50">
        <v>1547455</v>
      </c>
      <c r="N50">
        <v>1720355</v>
      </c>
    </row>
    <row r="51" spans="2:14" x14ac:dyDescent="0.2">
      <c r="B51" t="s">
        <v>78</v>
      </c>
      <c r="C51">
        <v>1215393</v>
      </c>
      <c r="D51">
        <v>1223550</v>
      </c>
      <c r="E51">
        <v>1223550</v>
      </c>
      <c r="F51">
        <v>1223550</v>
      </c>
      <c r="G51">
        <v>1223550</v>
      </c>
      <c r="H51">
        <v>1223550</v>
      </c>
      <c r="I51">
        <v>1215393</v>
      </c>
      <c r="J51">
        <v>1215393</v>
      </c>
      <c r="K51">
        <v>1223550</v>
      </c>
      <c r="L51">
        <v>1223550</v>
      </c>
      <c r="M51">
        <v>1386690</v>
      </c>
      <c r="N51">
        <v>1386690</v>
      </c>
    </row>
    <row r="52" spans="2:14" x14ac:dyDescent="0.2">
      <c r="B52" t="s">
        <v>79</v>
      </c>
      <c r="C52">
        <v>1039800</v>
      </c>
      <c r="D52">
        <v>1005140</v>
      </c>
      <c r="E52">
        <v>1135115</v>
      </c>
      <c r="F52">
        <v>1135115</v>
      </c>
      <c r="G52">
        <v>1195770</v>
      </c>
      <c r="H52">
        <v>1195770</v>
      </c>
      <c r="I52">
        <v>1256425</v>
      </c>
      <c r="J52">
        <v>1256425</v>
      </c>
      <c r="K52">
        <v>823175</v>
      </c>
      <c r="L52">
        <v>883830</v>
      </c>
      <c r="M52">
        <v>892495</v>
      </c>
      <c r="N52">
        <v>1256425</v>
      </c>
    </row>
    <row r="53" spans="2:14" x14ac:dyDescent="0.2">
      <c r="B53" t="s">
        <v>80</v>
      </c>
      <c r="C53">
        <v>3517150</v>
      </c>
      <c r="D53">
        <v>2813720</v>
      </c>
      <c r="E53">
        <v>3170846</v>
      </c>
      <c r="F53">
        <v>3170846</v>
      </c>
      <c r="G53">
        <v>3343998</v>
      </c>
      <c r="H53">
        <v>3343998</v>
      </c>
      <c r="I53">
        <v>3517150</v>
      </c>
      <c r="J53">
        <v>3517150</v>
      </c>
      <c r="K53">
        <v>3170846</v>
      </c>
      <c r="L53">
        <v>3170846</v>
      </c>
      <c r="M53">
        <v>3170846</v>
      </c>
      <c r="N53">
        <v>3517150</v>
      </c>
    </row>
    <row r="54" spans="2:14" x14ac:dyDescent="0.2">
      <c r="B54" t="s">
        <v>81</v>
      </c>
      <c r="C54">
        <v>2552319</v>
      </c>
      <c r="D54">
        <v>2400300</v>
      </c>
      <c r="E54">
        <v>2400300</v>
      </c>
      <c r="F54">
        <v>2400300</v>
      </c>
      <c r="G54">
        <v>2424303</v>
      </c>
      <c r="H54">
        <v>2424303</v>
      </c>
      <c r="I54">
        <v>2552319</v>
      </c>
      <c r="J54">
        <v>2552319</v>
      </c>
      <c r="K54">
        <v>2400300</v>
      </c>
      <c r="L54">
        <v>2400300</v>
      </c>
      <c r="M54">
        <v>2400300</v>
      </c>
      <c r="N54">
        <v>2552319</v>
      </c>
    </row>
    <row r="55" spans="2:14" x14ac:dyDescent="0.2">
      <c r="B55" t="s">
        <v>82</v>
      </c>
      <c r="C55">
        <v>1722480</v>
      </c>
      <c r="D55">
        <v>1722480</v>
      </c>
      <c r="E55">
        <v>1722480</v>
      </c>
      <c r="F55">
        <v>1722480</v>
      </c>
      <c r="G55">
        <v>1722480</v>
      </c>
      <c r="H55">
        <v>1722480</v>
      </c>
      <c r="I55">
        <v>1722480</v>
      </c>
      <c r="J55">
        <v>1722480</v>
      </c>
      <c r="K55">
        <v>1722480</v>
      </c>
      <c r="L55">
        <v>1722480</v>
      </c>
      <c r="M55">
        <v>1722480</v>
      </c>
      <c r="N55">
        <v>1722480</v>
      </c>
    </row>
    <row r="56" spans="2:14" x14ac:dyDescent="0.2">
      <c r="B56" t="s">
        <v>83</v>
      </c>
      <c r="C56">
        <v>1584906</v>
      </c>
      <c r="D56">
        <v>1533780</v>
      </c>
      <c r="E56">
        <v>1533780</v>
      </c>
      <c r="F56">
        <v>1533780</v>
      </c>
      <c r="G56">
        <v>1533780</v>
      </c>
      <c r="H56">
        <v>1533780</v>
      </c>
      <c r="I56">
        <v>1584906</v>
      </c>
      <c r="J56">
        <v>1584906</v>
      </c>
      <c r="K56">
        <v>1618990</v>
      </c>
      <c r="L56">
        <v>1618990</v>
      </c>
      <c r="M56">
        <v>1533780</v>
      </c>
      <c r="N56">
        <v>1584906</v>
      </c>
    </row>
    <row r="57" spans="2:14" x14ac:dyDescent="0.2">
      <c r="B57" t="s">
        <v>84</v>
      </c>
      <c r="C57">
        <v>1769090</v>
      </c>
      <c r="D57">
        <v>1769090</v>
      </c>
      <c r="E57">
        <v>1769090</v>
      </c>
      <c r="F57">
        <v>1769090</v>
      </c>
      <c r="G57">
        <v>1769090</v>
      </c>
      <c r="H57">
        <v>1769090</v>
      </c>
      <c r="I57">
        <v>1769090</v>
      </c>
      <c r="J57">
        <v>1769090</v>
      </c>
      <c r="K57">
        <v>1769090</v>
      </c>
      <c r="L57">
        <v>1769090</v>
      </c>
      <c r="M57">
        <v>1769090</v>
      </c>
      <c r="N57">
        <v>1769090</v>
      </c>
    </row>
    <row r="58" spans="2:14" x14ac:dyDescent="0.2">
      <c r="B58" t="s">
        <v>85</v>
      </c>
      <c r="C58">
        <v>2027800</v>
      </c>
      <c r="D58">
        <v>1622240</v>
      </c>
      <c r="E58">
        <v>1825020</v>
      </c>
      <c r="F58">
        <v>1825020</v>
      </c>
      <c r="G58">
        <v>1926410</v>
      </c>
      <c r="H58">
        <v>1926410</v>
      </c>
      <c r="I58">
        <v>2027800</v>
      </c>
      <c r="J58">
        <v>2027800</v>
      </c>
      <c r="K58">
        <v>1825020</v>
      </c>
      <c r="L58">
        <v>1470155</v>
      </c>
      <c r="M58">
        <v>1672935</v>
      </c>
      <c r="N58">
        <v>2027800</v>
      </c>
    </row>
    <row r="59" spans="2:14" x14ac:dyDescent="0.2">
      <c r="B59" t="s">
        <v>86</v>
      </c>
      <c r="C59">
        <v>1312200</v>
      </c>
      <c r="D59">
        <v>1125900</v>
      </c>
      <c r="E59">
        <v>1271700</v>
      </c>
      <c r="F59">
        <v>1255500</v>
      </c>
      <c r="G59">
        <v>1312200</v>
      </c>
      <c r="H59">
        <v>1328400</v>
      </c>
      <c r="I59">
        <v>1522800</v>
      </c>
      <c r="J59">
        <v>1522800</v>
      </c>
      <c r="K59">
        <v>1368900</v>
      </c>
      <c r="L59">
        <v>1368900</v>
      </c>
      <c r="M59">
        <v>1336500</v>
      </c>
      <c r="N59">
        <v>1522800</v>
      </c>
    </row>
    <row r="60" spans="2:14" x14ac:dyDescent="0.2">
      <c r="B60" t="s">
        <v>87</v>
      </c>
      <c r="C60">
        <v>5001248</v>
      </c>
      <c r="D60">
        <v>4002720</v>
      </c>
      <c r="E60">
        <v>4501984</v>
      </c>
      <c r="F60">
        <v>4501984</v>
      </c>
      <c r="G60">
        <v>4751616</v>
      </c>
      <c r="H60">
        <v>4751616</v>
      </c>
      <c r="I60">
        <v>5001248</v>
      </c>
      <c r="J60">
        <v>5001248</v>
      </c>
      <c r="K60">
        <v>4501984</v>
      </c>
      <c r="L60">
        <v>4501984</v>
      </c>
      <c r="M60">
        <v>4501984</v>
      </c>
      <c r="N60">
        <v>5001248</v>
      </c>
    </row>
    <row r="61" spans="2:14" x14ac:dyDescent="0.2">
      <c r="B61" t="s">
        <v>88</v>
      </c>
      <c r="C61">
        <v>1359040</v>
      </c>
      <c r="D61">
        <v>1087232</v>
      </c>
      <c r="E61">
        <v>1227520</v>
      </c>
      <c r="F61">
        <v>1227520</v>
      </c>
      <c r="G61">
        <v>1288896</v>
      </c>
      <c r="H61">
        <v>1288896</v>
      </c>
      <c r="I61">
        <v>1359040</v>
      </c>
      <c r="J61">
        <v>1359040</v>
      </c>
      <c r="K61">
        <v>1227520</v>
      </c>
      <c r="L61">
        <v>1227520</v>
      </c>
      <c r="M61">
        <v>1227520</v>
      </c>
      <c r="N61">
        <v>1359040</v>
      </c>
    </row>
    <row r="62" spans="2:14" x14ac:dyDescent="0.2">
      <c r="B62" t="s">
        <v>89</v>
      </c>
      <c r="C62">
        <v>1012770</v>
      </c>
      <c r="D62">
        <v>810216</v>
      </c>
      <c r="E62">
        <v>915244</v>
      </c>
      <c r="F62">
        <v>915244</v>
      </c>
      <c r="G62">
        <v>960256</v>
      </c>
      <c r="H62">
        <v>960256</v>
      </c>
      <c r="I62">
        <v>1012770</v>
      </c>
      <c r="J62">
        <v>1012770</v>
      </c>
      <c r="K62">
        <v>915244</v>
      </c>
      <c r="L62">
        <v>915244</v>
      </c>
      <c r="M62">
        <v>915244</v>
      </c>
      <c r="N62">
        <v>1012770</v>
      </c>
    </row>
    <row r="63" spans="2:14" x14ac:dyDescent="0.2">
      <c r="B63" t="s">
        <v>90</v>
      </c>
      <c r="C63">
        <v>2539520</v>
      </c>
      <c r="D63">
        <v>2380800</v>
      </c>
      <c r="E63">
        <v>2380800</v>
      </c>
      <c r="F63">
        <v>2380800</v>
      </c>
      <c r="G63">
        <v>2412544</v>
      </c>
      <c r="H63">
        <v>2412544</v>
      </c>
      <c r="I63">
        <v>2539520</v>
      </c>
      <c r="J63">
        <v>2539520</v>
      </c>
      <c r="K63">
        <v>2380800</v>
      </c>
      <c r="L63">
        <v>2380800</v>
      </c>
      <c r="M63">
        <v>2460160</v>
      </c>
      <c r="N63">
        <v>2539520</v>
      </c>
    </row>
    <row r="64" spans="2:14" x14ac:dyDescent="0.2">
      <c r="B64" t="s">
        <v>91</v>
      </c>
      <c r="C64">
        <v>853380</v>
      </c>
      <c r="D64">
        <v>853380</v>
      </c>
      <c r="E64">
        <v>853380</v>
      </c>
      <c r="F64">
        <v>853380</v>
      </c>
      <c r="G64">
        <v>853380</v>
      </c>
      <c r="H64">
        <v>1008540</v>
      </c>
      <c r="I64">
        <v>1086120</v>
      </c>
      <c r="J64">
        <v>1163700</v>
      </c>
      <c r="K64">
        <v>1163700</v>
      </c>
      <c r="L64">
        <v>1163700</v>
      </c>
      <c r="M64">
        <v>1163700</v>
      </c>
      <c r="N64">
        <v>1163700</v>
      </c>
    </row>
    <row r="65" spans="2:14" x14ac:dyDescent="0.2">
      <c r="B65" t="s">
        <v>92</v>
      </c>
      <c r="C65">
        <v>300000</v>
      </c>
      <c r="D65">
        <v>400000</v>
      </c>
      <c r="E65">
        <v>500000</v>
      </c>
      <c r="F65">
        <v>600000</v>
      </c>
      <c r="G65">
        <v>700000</v>
      </c>
      <c r="H65">
        <v>800000</v>
      </c>
      <c r="I65">
        <v>900000</v>
      </c>
      <c r="J65">
        <v>1000000</v>
      </c>
      <c r="K65">
        <v>1100000</v>
      </c>
      <c r="L65">
        <v>1200000</v>
      </c>
      <c r="M65">
        <v>1300000</v>
      </c>
      <c r="N65">
        <v>1400000</v>
      </c>
    </row>
    <row r="66" spans="2:14" x14ac:dyDescent="0.2">
      <c r="B66" t="s">
        <v>93</v>
      </c>
      <c r="C66">
        <v>200000</v>
      </c>
      <c r="D66">
        <v>300000</v>
      </c>
      <c r="E66">
        <v>400000</v>
      </c>
      <c r="F66">
        <v>500000</v>
      </c>
      <c r="G66">
        <v>600000</v>
      </c>
      <c r="H66">
        <v>700000</v>
      </c>
      <c r="I66">
        <v>800000</v>
      </c>
      <c r="J66">
        <v>900000</v>
      </c>
      <c r="K66">
        <v>1000000</v>
      </c>
      <c r="L66">
        <v>1000000</v>
      </c>
      <c r="M66">
        <v>1100000</v>
      </c>
      <c r="N66">
        <v>1200000</v>
      </c>
    </row>
    <row r="67" spans="2:14" x14ac:dyDescent="0.2">
      <c r="B67" t="s">
        <v>94</v>
      </c>
      <c r="C67">
        <v>6001359</v>
      </c>
      <c r="D67">
        <v>5588310</v>
      </c>
      <c r="E67">
        <v>5685498</v>
      </c>
      <c r="F67">
        <v>5434429</v>
      </c>
      <c r="G67">
        <v>4980885</v>
      </c>
      <c r="H67">
        <v>5304845</v>
      </c>
      <c r="I67">
        <v>5766488</v>
      </c>
      <c r="J67">
        <v>6333418</v>
      </c>
      <c r="K67">
        <v>5685498</v>
      </c>
      <c r="L67">
        <v>5936567</v>
      </c>
      <c r="M67">
        <v>5377736</v>
      </c>
      <c r="N67">
        <v>6325319</v>
      </c>
    </row>
    <row r="68" spans="2:14" x14ac:dyDescent="0.2">
      <c r="B68" t="s">
        <v>95</v>
      </c>
      <c r="C68">
        <v>2150895</v>
      </c>
      <c r="D68">
        <v>1765998</v>
      </c>
      <c r="E68">
        <v>2015049</v>
      </c>
      <c r="F68">
        <v>1615058</v>
      </c>
      <c r="G68">
        <v>1690528</v>
      </c>
      <c r="H68">
        <v>1803733</v>
      </c>
      <c r="I68">
        <v>2082972</v>
      </c>
      <c r="J68">
        <v>2075425</v>
      </c>
      <c r="K68">
        <v>1984861</v>
      </c>
      <c r="L68">
        <v>1954673</v>
      </c>
      <c r="M68">
        <v>1864109</v>
      </c>
      <c r="N68">
        <v>2045237</v>
      </c>
    </row>
    <row r="69" spans="2:14" x14ac:dyDescent="0.2">
      <c r="B69" t="s">
        <v>96</v>
      </c>
      <c r="C69">
        <v>1925300</v>
      </c>
      <c r="D69">
        <v>1851250</v>
      </c>
      <c r="E69">
        <v>1925300</v>
      </c>
      <c r="F69">
        <v>1925300</v>
      </c>
      <c r="G69">
        <v>1925300</v>
      </c>
      <c r="H69">
        <v>1925300</v>
      </c>
      <c r="I69">
        <v>1925300</v>
      </c>
      <c r="J69">
        <v>1925300</v>
      </c>
      <c r="K69">
        <v>1925300</v>
      </c>
      <c r="L69">
        <v>1925300</v>
      </c>
      <c r="M69">
        <v>1925300</v>
      </c>
      <c r="N69">
        <v>1925300</v>
      </c>
    </row>
    <row r="70" spans="2:14" x14ac:dyDescent="0.2">
      <c r="B70" t="s">
        <v>97</v>
      </c>
      <c r="C70">
        <v>1571712</v>
      </c>
      <c r="D70">
        <v>1317946</v>
      </c>
      <c r="E70">
        <v>1309760</v>
      </c>
      <c r="F70">
        <v>1195156</v>
      </c>
      <c r="G70">
        <v>1178784</v>
      </c>
      <c r="H70">
        <v>1203342</v>
      </c>
      <c r="I70">
        <v>1350690</v>
      </c>
      <c r="J70">
        <v>1522596</v>
      </c>
      <c r="K70">
        <v>1538968</v>
      </c>
      <c r="L70">
        <v>1391620</v>
      </c>
      <c r="M70">
        <v>1342504</v>
      </c>
      <c r="N70">
        <v>1268830</v>
      </c>
    </row>
    <row r="71" spans="2:14" x14ac:dyDescent="0.2">
      <c r="B71" t="s">
        <v>98</v>
      </c>
      <c r="C71">
        <v>3168572</v>
      </c>
      <c r="D71">
        <v>2806184</v>
      </c>
      <c r="E71">
        <v>3112820</v>
      </c>
      <c r="F71">
        <v>2778308</v>
      </c>
      <c r="G71">
        <v>2852644</v>
      </c>
      <c r="H71">
        <v>2964148</v>
      </c>
      <c r="I71">
        <v>3363704</v>
      </c>
      <c r="J71">
        <v>3475208</v>
      </c>
      <c r="K71">
        <v>3419456</v>
      </c>
      <c r="L71">
        <v>2852644</v>
      </c>
      <c r="M71">
        <v>2611052</v>
      </c>
      <c r="N71">
        <v>3317244</v>
      </c>
    </row>
    <row r="72" spans="2:14" x14ac:dyDescent="0.2">
      <c r="B72" t="s">
        <v>99</v>
      </c>
      <c r="C72">
        <v>2350350</v>
      </c>
      <c r="D72">
        <v>2350350</v>
      </c>
      <c r="E72">
        <v>2350350</v>
      </c>
      <c r="F72">
        <v>2350350</v>
      </c>
      <c r="G72">
        <v>2350350</v>
      </c>
      <c r="H72">
        <v>2350350</v>
      </c>
      <c r="I72">
        <v>2393875</v>
      </c>
      <c r="J72">
        <v>2350350</v>
      </c>
      <c r="K72">
        <v>2332940</v>
      </c>
      <c r="L72">
        <v>2350350</v>
      </c>
      <c r="M72">
        <v>2350350</v>
      </c>
      <c r="N72">
        <v>2332940</v>
      </c>
    </row>
    <row r="73" spans="2:14" x14ac:dyDescent="0.2">
      <c r="B73" t="s">
        <v>100</v>
      </c>
      <c r="C73">
        <v>1000000</v>
      </c>
      <c r="D73">
        <v>1000000</v>
      </c>
      <c r="E73">
        <v>1000000</v>
      </c>
      <c r="F73">
        <v>1000000</v>
      </c>
      <c r="G73">
        <v>1000000</v>
      </c>
      <c r="H73">
        <v>1000000</v>
      </c>
      <c r="I73">
        <v>1000000</v>
      </c>
      <c r="J73">
        <v>1000000</v>
      </c>
      <c r="K73">
        <v>1000000</v>
      </c>
      <c r="L73">
        <v>1000000</v>
      </c>
      <c r="M73">
        <v>1000000</v>
      </c>
      <c r="N73">
        <v>1000000</v>
      </c>
    </row>
    <row r="74" spans="2:14" x14ac:dyDescent="0.2">
      <c r="B74" t="s">
        <v>101</v>
      </c>
      <c r="C74">
        <v>1420520</v>
      </c>
      <c r="D74">
        <v>1420520</v>
      </c>
      <c r="E74">
        <v>1420520</v>
      </c>
      <c r="F74">
        <v>1420520</v>
      </c>
      <c r="G74">
        <v>1420520</v>
      </c>
      <c r="H74">
        <v>1420520</v>
      </c>
      <c r="I74">
        <v>1420520</v>
      </c>
      <c r="J74">
        <v>1420520</v>
      </c>
      <c r="K74">
        <v>1420520</v>
      </c>
      <c r="L74">
        <v>1420520</v>
      </c>
      <c r="M74">
        <v>1420520</v>
      </c>
      <c r="N74">
        <v>1420520</v>
      </c>
    </row>
    <row r="75" spans="2:14" x14ac:dyDescent="0.2">
      <c r="B75" t="s">
        <v>102</v>
      </c>
      <c r="C75">
        <v>2722300</v>
      </c>
      <c r="D75">
        <v>2722300</v>
      </c>
      <c r="E75">
        <v>2722300</v>
      </c>
      <c r="F75">
        <v>2722300</v>
      </c>
      <c r="G75">
        <v>2722300</v>
      </c>
      <c r="H75">
        <v>2722300</v>
      </c>
      <c r="I75">
        <v>2722300</v>
      </c>
      <c r="J75">
        <v>2722300</v>
      </c>
      <c r="K75">
        <v>2722300</v>
      </c>
      <c r="L75">
        <v>2722300</v>
      </c>
      <c r="M75">
        <v>2722300</v>
      </c>
      <c r="N75">
        <v>2722300</v>
      </c>
    </row>
    <row r="76" spans="2:14" x14ac:dyDescent="0.2">
      <c r="B76" t="s">
        <v>103</v>
      </c>
      <c r="C76">
        <v>1025202</v>
      </c>
      <c r="D76">
        <v>1079160</v>
      </c>
      <c r="E76">
        <v>1079160</v>
      </c>
      <c r="F76">
        <v>800377</v>
      </c>
      <c r="G76">
        <v>1079160</v>
      </c>
      <c r="H76">
        <v>1160097</v>
      </c>
      <c r="I76">
        <v>1214055</v>
      </c>
      <c r="J76">
        <v>1393915</v>
      </c>
      <c r="K76">
        <v>1007216</v>
      </c>
      <c r="L76">
        <v>1016209</v>
      </c>
      <c r="M76">
        <v>1016209</v>
      </c>
      <c r="N76">
        <v>1016209</v>
      </c>
    </row>
    <row r="77" spans="2:14" x14ac:dyDescent="0.2">
      <c r="B77" t="s">
        <v>104</v>
      </c>
      <c r="C77">
        <v>1854720</v>
      </c>
      <c r="D77">
        <v>1854720</v>
      </c>
      <c r="E77">
        <v>1854720</v>
      </c>
      <c r="F77">
        <v>1854720</v>
      </c>
      <c r="G77">
        <v>1854720</v>
      </c>
      <c r="H77">
        <v>1854720</v>
      </c>
      <c r="I77">
        <v>1854720</v>
      </c>
      <c r="J77">
        <v>1854720</v>
      </c>
      <c r="K77">
        <v>1854720</v>
      </c>
      <c r="L77">
        <v>1854720</v>
      </c>
      <c r="M77">
        <v>1854720</v>
      </c>
      <c r="N77">
        <v>1854720</v>
      </c>
    </row>
    <row r="78" spans="2:14" x14ac:dyDescent="0.2">
      <c r="B78" t="s">
        <v>105</v>
      </c>
      <c r="C78">
        <v>400000</v>
      </c>
      <c r="D78">
        <v>500000</v>
      </c>
      <c r="E78">
        <v>600000</v>
      </c>
      <c r="F78">
        <v>700000</v>
      </c>
      <c r="G78">
        <v>800000</v>
      </c>
      <c r="H78">
        <v>900000</v>
      </c>
      <c r="I78">
        <v>1000000</v>
      </c>
      <c r="J78">
        <v>1100000</v>
      </c>
      <c r="K78">
        <v>1200000</v>
      </c>
      <c r="L78">
        <v>1300000</v>
      </c>
      <c r="M78">
        <v>1400000</v>
      </c>
      <c r="N78">
        <v>1500000</v>
      </c>
    </row>
    <row r="79" spans="2:14" x14ac:dyDescent="0.2">
      <c r="B79" t="s">
        <v>106</v>
      </c>
      <c r="C79">
        <v>1522170</v>
      </c>
      <c r="D79">
        <v>1303602</v>
      </c>
      <c r="E79">
        <v>1358244</v>
      </c>
      <c r="F79">
        <v>1217736</v>
      </c>
      <c r="G79">
        <v>1248960</v>
      </c>
      <c r="H79">
        <v>1241154</v>
      </c>
      <c r="I79">
        <v>1303602</v>
      </c>
      <c r="J79">
        <v>1436304</v>
      </c>
      <c r="K79">
        <v>1436304</v>
      </c>
      <c r="L79">
        <v>1248960</v>
      </c>
      <c r="M79">
        <v>1248960</v>
      </c>
      <c r="N79">
        <v>1303602</v>
      </c>
    </row>
    <row r="80" spans="2:14" x14ac:dyDescent="0.2">
      <c r="B80" t="s">
        <v>107</v>
      </c>
      <c r="C80">
        <v>1000000</v>
      </c>
      <c r="D80">
        <v>1000000</v>
      </c>
      <c r="E80">
        <v>1000000</v>
      </c>
      <c r="F80">
        <v>1000000</v>
      </c>
      <c r="G80">
        <v>1000000</v>
      </c>
      <c r="H80">
        <v>1000000</v>
      </c>
      <c r="I80">
        <v>1000000</v>
      </c>
      <c r="J80">
        <v>1000000</v>
      </c>
      <c r="K80">
        <v>1000000</v>
      </c>
      <c r="L80">
        <v>1000000</v>
      </c>
      <c r="M80">
        <v>1000000</v>
      </c>
      <c r="N80">
        <v>1000000</v>
      </c>
    </row>
    <row r="81" spans="2:14" x14ac:dyDescent="0.2">
      <c r="B81" t="s">
        <v>108</v>
      </c>
      <c r="C81">
        <v>4252320</v>
      </c>
      <c r="D81">
        <v>4213552</v>
      </c>
      <c r="E81">
        <v>4597908</v>
      </c>
      <c r="F81">
        <v>4386480</v>
      </c>
      <c r="G81">
        <v>4122000</v>
      </c>
      <c r="H81">
        <v>4113200</v>
      </c>
      <c r="I81">
        <v>4170896</v>
      </c>
      <c r="J81">
        <v>4199118</v>
      </c>
      <c r="K81">
        <v>4180596</v>
      </c>
      <c r="L81">
        <v>4173246</v>
      </c>
      <c r="M81">
        <v>4218516</v>
      </c>
      <c r="N81">
        <v>4569170</v>
      </c>
    </row>
    <row r="82" spans="2:14" x14ac:dyDescent="0.2">
      <c r="B82" t="s">
        <v>109</v>
      </c>
      <c r="C82">
        <v>1001000</v>
      </c>
      <c r="D82">
        <v>1001000</v>
      </c>
      <c r="E82">
        <v>1001000</v>
      </c>
      <c r="F82">
        <v>1001000</v>
      </c>
      <c r="G82">
        <v>1001000</v>
      </c>
      <c r="H82">
        <v>1001000</v>
      </c>
      <c r="I82">
        <v>1001000</v>
      </c>
      <c r="J82">
        <v>1001000</v>
      </c>
      <c r="K82">
        <v>1001000</v>
      </c>
      <c r="L82">
        <v>1001000</v>
      </c>
      <c r="M82">
        <v>1001000</v>
      </c>
      <c r="N82">
        <v>1001000</v>
      </c>
    </row>
    <row r="83" spans="2:14" x14ac:dyDescent="0.2">
      <c r="B83" t="s">
        <v>110</v>
      </c>
      <c r="C83">
        <v>2150460</v>
      </c>
      <c r="D83">
        <v>2076142</v>
      </c>
      <c r="E83">
        <v>2423425</v>
      </c>
      <c r="F83">
        <v>2194560</v>
      </c>
      <c r="G83">
        <v>2232930</v>
      </c>
      <c r="H83">
        <v>2222478</v>
      </c>
      <c r="I83">
        <v>2190980</v>
      </c>
      <c r="J83">
        <v>2282840</v>
      </c>
      <c r="K83">
        <v>2176445</v>
      </c>
      <c r="L83">
        <v>2254000</v>
      </c>
      <c r="M83">
        <v>2097828</v>
      </c>
      <c r="N83">
        <v>2305205</v>
      </c>
    </row>
    <row r="84" spans="2:14" x14ac:dyDescent="0.2">
      <c r="B84" t="s">
        <v>111</v>
      </c>
      <c r="C84">
        <v>1838995</v>
      </c>
      <c r="D84">
        <v>1668515</v>
      </c>
      <c r="E84">
        <v>1832342</v>
      </c>
      <c r="F84">
        <v>1677858</v>
      </c>
      <c r="G84">
        <v>2032825</v>
      </c>
      <c r="H84">
        <v>1627411</v>
      </c>
      <c r="I84">
        <v>1709100</v>
      </c>
      <c r="J84">
        <v>1923425</v>
      </c>
      <c r="K84">
        <v>1707300</v>
      </c>
      <c r="L84">
        <v>1812597</v>
      </c>
      <c r="M84">
        <v>1709100</v>
      </c>
      <c r="N84">
        <v>1823040</v>
      </c>
    </row>
    <row r="85" spans="2:14" x14ac:dyDescent="0.2">
      <c r="B85" t="s">
        <v>112</v>
      </c>
      <c r="C85">
        <v>1612080</v>
      </c>
      <c r="D85">
        <v>1567440</v>
      </c>
      <c r="E85">
        <v>1611900</v>
      </c>
      <c r="F85">
        <v>1634400</v>
      </c>
      <c r="G85">
        <v>1612080</v>
      </c>
      <c r="H85">
        <v>1620360</v>
      </c>
      <c r="I85">
        <v>1612080</v>
      </c>
      <c r="J85">
        <v>1612080</v>
      </c>
      <c r="K85">
        <v>1612080</v>
      </c>
      <c r="L85">
        <v>1612080</v>
      </c>
      <c r="M85">
        <v>1612080</v>
      </c>
      <c r="N85">
        <v>1612080</v>
      </c>
    </row>
    <row r="86" spans="2:14" x14ac:dyDescent="0.2">
      <c r="B86" t="s">
        <v>113</v>
      </c>
      <c r="C86">
        <v>1941508</v>
      </c>
      <c r="D86">
        <v>1583443</v>
      </c>
      <c r="E86">
        <v>1779400</v>
      </c>
      <c r="F86">
        <v>1701657</v>
      </c>
      <c r="G86">
        <v>1806239</v>
      </c>
      <c r="H86">
        <v>1798282</v>
      </c>
      <c r="I86">
        <v>1698564</v>
      </c>
      <c r="J86">
        <v>1943400</v>
      </c>
      <c r="K86">
        <v>1667540</v>
      </c>
      <c r="L86">
        <v>1613456</v>
      </c>
      <c r="M86">
        <v>1667755</v>
      </c>
      <c r="N86">
        <v>2024577</v>
      </c>
    </row>
    <row r="87" spans="2:14" x14ac:dyDescent="0.2">
      <c r="B87" t="s">
        <v>114</v>
      </c>
      <c r="C87">
        <v>2030190</v>
      </c>
      <c r="D87">
        <v>1822986</v>
      </c>
      <c r="E87">
        <v>2020200</v>
      </c>
      <c r="F87">
        <v>1876042</v>
      </c>
      <c r="G87">
        <v>2094610</v>
      </c>
      <c r="H87">
        <v>1904199</v>
      </c>
      <c r="I87">
        <v>1885598</v>
      </c>
      <c r="J87">
        <v>2125200</v>
      </c>
      <c r="K87">
        <v>1856472</v>
      </c>
      <c r="L87">
        <v>1906170</v>
      </c>
      <c r="M87">
        <v>1931532</v>
      </c>
      <c r="N87">
        <v>2033421</v>
      </c>
    </row>
    <row r="88" spans="2:14" x14ac:dyDescent="0.2">
      <c r="B88" t="s">
        <v>115</v>
      </c>
      <c r="C88">
        <v>3742132</v>
      </c>
      <c r="D88">
        <v>3693690</v>
      </c>
      <c r="E88">
        <v>3760393</v>
      </c>
      <c r="F88">
        <v>3666780</v>
      </c>
      <c r="G88">
        <v>3836016</v>
      </c>
      <c r="H88">
        <v>3696278</v>
      </c>
      <c r="I88">
        <v>3774050</v>
      </c>
      <c r="J88">
        <v>3824575</v>
      </c>
      <c r="K88">
        <v>3600000</v>
      </c>
      <c r="L88">
        <v>3660210</v>
      </c>
      <c r="M88">
        <v>3596000</v>
      </c>
      <c r="N88">
        <v>3936410</v>
      </c>
    </row>
    <row r="89" spans="2:14" x14ac:dyDescent="0.2">
      <c r="B89" t="s">
        <v>116</v>
      </c>
      <c r="C89">
        <v>1117800</v>
      </c>
      <c r="D89">
        <v>1050450</v>
      </c>
      <c r="E89">
        <v>1102896</v>
      </c>
      <c r="F89">
        <v>1035828</v>
      </c>
      <c r="G89">
        <v>1125248</v>
      </c>
      <c r="H89">
        <v>1110348</v>
      </c>
      <c r="I89">
        <v>1110348</v>
      </c>
      <c r="J89">
        <v>1155060</v>
      </c>
      <c r="K89">
        <v>1006020</v>
      </c>
      <c r="L89">
        <v>1013472</v>
      </c>
      <c r="M89">
        <v>1102304</v>
      </c>
      <c r="N89">
        <v>1152909</v>
      </c>
    </row>
    <row r="90" spans="2:14" x14ac:dyDescent="0.2">
      <c r="B90" t="s">
        <v>117</v>
      </c>
      <c r="C90">
        <v>1119300</v>
      </c>
      <c r="D90">
        <v>1119000</v>
      </c>
      <c r="E90">
        <v>1223440</v>
      </c>
      <c r="F90">
        <v>1134000</v>
      </c>
      <c r="G90">
        <v>1186140</v>
      </c>
      <c r="H90">
        <v>1119000</v>
      </c>
      <c r="I90">
        <v>1230900</v>
      </c>
      <c r="J90">
        <v>1167450</v>
      </c>
      <c r="K90">
        <v>1134000</v>
      </c>
      <c r="L90">
        <v>1134000</v>
      </c>
      <c r="M90">
        <v>1134000</v>
      </c>
      <c r="N90">
        <v>1230150</v>
      </c>
    </row>
    <row r="91" spans="2:14" x14ac:dyDescent="0.2">
      <c r="B91" t="s">
        <v>118</v>
      </c>
      <c r="C91">
        <v>5458992</v>
      </c>
      <c r="D91">
        <v>5388096</v>
      </c>
      <c r="E91">
        <v>5428608</v>
      </c>
      <c r="F91">
        <v>4618368</v>
      </c>
      <c r="G91">
        <v>4577856</v>
      </c>
      <c r="H91">
        <v>4061328</v>
      </c>
      <c r="I91">
        <v>4628496</v>
      </c>
      <c r="J91">
        <v>4861440</v>
      </c>
      <c r="K91">
        <v>4436064</v>
      </c>
      <c r="L91">
        <v>5357712</v>
      </c>
      <c r="M91">
        <v>5074128</v>
      </c>
      <c r="N91">
        <v>6157824</v>
      </c>
    </row>
    <row r="92" spans="2:14" x14ac:dyDescent="0.2">
      <c r="B92" t="s">
        <v>119</v>
      </c>
      <c r="C92">
        <v>2281284</v>
      </c>
      <c r="D92">
        <v>2065360</v>
      </c>
      <c r="E92">
        <v>2065360</v>
      </c>
      <c r="F92">
        <v>2065360</v>
      </c>
      <c r="G92">
        <v>2065360</v>
      </c>
      <c r="H92">
        <v>2065360</v>
      </c>
      <c r="I92">
        <v>2065360</v>
      </c>
      <c r="J92">
        <v>2065360</v>
      </c>
      <c r="K92">
        <v>2065360</v>
      </c>
      <c r="L92">
        <v>2065360</v>
      </c>
      <c r="M92">
        <v>2065360</v>
      </c>
      <c r="N92">
        <v>2065360</v>
      </c>
    </row>
    <row r="93" spans="2:14" x14ac:dyDescent="0.2">
      <c r="B93" t="s">
        <v>120</v>
      </c>
      <c r="C93">
        <v>1009200</v>
      </c>
      <c r="D93">
        <v>1096200</v>
      </c>
      <c r="E93">
        <v>1104900</v>
      </c>
      <c r="F93">
        <v>1087500</v>
      </c>
      <c r="G93">
        <v>974400</v>
      </c>
      <c r="H93">
        <v>913500</v>
      </c>
      <c r="I93">
        <v>1009200</v>
      </c>
      <c r="J93">
        <v>1078800</v>
      </c>
      <c r="K93">
        <v>1078800</v>
      </c>
      <c r="L93">
        <v>1191900</v>
      </c>
      <c r="M93">
        <v>1122300</v>
      </c>
      <c r="N93">
        <v>1313700</v>
      </c>
    </row>
    <row r="94" spans="2:14" x14ac:dyDescent="0.2">
      <c r="B94" t="s">
        <v>121</v>
      </c>
      <c r="C94">
        <v>1498602</v>
      </c>
      <c r="D94">
        <v>1530830</v>
      </c>
      <c r="E94">
        <v>1297177</v>
      </c>
      <c r="F94">
        <v>1168265</v>
      </c>
      <c r="G94">
        <v>1200493</v>
      </c>
      <c r="H94">
        <v>1256892</v>
      </c>
      <c r="I94">
        <v>1321348</v>
      </c>
      <c r="J94">
        <v>1305234</v>
      </c>
      <c r="K94">
        <v>1442203</v>
      </c>
      <c r="L94">
        <v>1716141</v>
      </c>
      <c r="M94">
        <v>1377747</v>
      </c>
      <c r="N94">
        <v>1667799</v>
      </c>
    </row>
    <row r="95" spans="2:14" x14ac:dyDescent="0.2">
      <c r="B95" t="s">
        <v>122</v>
      </c>
      <c r="C95">
        <v>1072904</v>
      </c>
      <c r="D95">
        <v>1025570</v>
      </c>
      <c r="E95">
        <v>1025570</v>
      </c>
      <c r="F95">
        <v>1025570</v>
      </c>
      <c r="G95">
        <v>1025570</v>
      </c>
      <c r="H95">
        <v>1025570</v>
      </c>
      <c r="I95">
        <v>1025570</v>
      </c>
      <c r="J95">
        <v>1025570</v>
      </c>
      <c r="K95">
        <v>1049237</v>
      </c>
      <c r="L95">
        <v>1025570</v>
      </c>
      <c r="M95">
        <v>1191239</v>
      </c>
      <c r="N95">
        <v>1301685</v>
      </c>
    </row>
    <row r="96" spans="2:14" x14ac:dyDescent="0.2">
      <c r="B96" t="s">
        <v>123</v>
      </c>
      <c r="C96">
        <v>1269318</v>
      </c>
      <c r="D96">
        <v>1419069</v>
      </c>
      <c r="E96">
        <v>1376283</v>
      </c>
      <c r="F96">
        <v>1426200</v>
      </c>
      <c r="G96">
        <v>1369152</v>
      </c>
      <c r="H96">
        <v>1190877</v>
      </c>
      <c r="I96">
        <v>1312104</v>
      </c>
      <c r="J96">
        <v>1362021</v>
      </c>
      <c r="K96">
        <v>1440462</v>
      </c>
      <c r="L96">
        <v>1319235</v>
      </c>
      <c r="M96">
        <v>1190877</v>
      </c>
      <c r="N96">
        <v>1533165</v>
      </c>
    </row>
    <row r="97" spans="2:14" x14ac:dyDescent="0.2">
      <c r="B97" t="s">
        <v>124</v>
      </c>
      <c r="C97">
        <v>1555840</v>
      </c>
      <c r="D97">
        <v>1555840</v>
      </c>
      <c r="E97">
        <v>1555840</v>
      </c>
      <c r="F97">
        <v>1555840</v>
      </c>
      <c r="G97">
        <v>1555840</v>
      </c>
      <c r="H97">
        <v>1555840</v>
      </c>
      <c r="I97">
        <v>1555840</v>
      </c>
      <c r="J97">
        <v>1555840</v>
      </c>
      <c r="K97">
        <v>1555840</v>
      </c>
      <c r="L97">
        <v>1555840</v>
      </c>
      <c r="M97">
        <v>1555840</v>
      </c>
      <c r="N97">
        <v>1612416</v>
      </c>
    </row>
    <row r="98" spans="2:14" x14ac:dyDescent="0.2">
      <c r="B98" t="s">
        <v>125</v>
      </c>
      <c r="C98">
        <v>1317330</v>
      </c>
      <c r="D98">
        <v>1317330</v>
      </c>
      <c r="E98">
        <v>1317330</v>
      </c>
      <c r="F98">
        <v>1317330</v>
      </c>
      <c r="G98">
        <v>1317330</v>
      </c>
      <c r="H98">
        <v>1317330</v>
      </c>
      <c r="I98">
        <v>1317330</v>
      </c>
      <c r="J98">
        <v>1317330</v>
      </c>
      <c r="K98">
        <v>1317330</v>
      </c>
      <c r="L98">
        <v>1317330</v>
      </c>
      <c r="M98">
        <v>1317330</v>
      </c>
      <c r="N98">
        <v>1317330</v>
      </c>
    </row>
    <row r="99" spans="2:14" x14ac:dyDescent="0.2">
      <c r="B99" t="s">
        <v>126</v>
      </c>
      <c r="C99">
        <v>1267920</v>
      </c>
      <c r="D99">
        <v>1267920</v>
      </c>
      <c r="E99">
        <v>1267920</v>
      </c>
      <c r="F99">
        <v>1267920</v>
      </c>
      <c r="G99">
        <v>1267920</v>
      </c>
      <c r="H99">
        <v>1267920</v>
      </c>
      <c r="I99">
        <v>1267920</v>
      </c>
      <c r="J99">
        <v>1267920</v>
      </c>
      <c r="K99">
        <v>1267920</v>
      </c>
      <c r="L99">
        <v>1267920</v>
      </c>
      <c r="M99">
        <v>1267920</v>
      </c>
      <c r="N99">
        <v>1267920</v>
      </c>
    </row>
  </sheetData>
  <mergeCells count="132">
    <mergeCell ref="A5:A20"/>
    <mergeCell ref="B5:B8"/>
    <mergeCell ref="C5:E8"/>
    <mergeCell ref="F5:G8"/>
    <mergeCell ref="H5:I8"/>
    <mergeCell ref="J5:J6"/>
    <mergeCell ref="K5:K6"/>
    <mergeCell ref="C2:E4"/>
    <mergeCell ref="F2:G4"/>
    <mergeCell ref="H2:I4"/>
    <mergeCell ref="J2:T4"/>
    <mergeCell ref="L5:L6"/>
    <mergeCell ref="M5:M6"/>
    <mergeCell ref="N5:N6"/>
    <mergeCell ref="O5:O6"/>
    <mergeCell ref="P5:P6"/>
    <mergeCell ref="Q5:Q6"/>
    <mergeCell ref="M9:M10"/>
    <mergeCell ref="N9:N10"/>
    <mergeCell ref="O9:O10"/>
    <mergeCell ref="P9:P10"/>
    <mergeCell ref="Q9:Q10"/>
    <mergeCell ref="T19:T20"/>
    <mergeCell ref="A2:B2"/>
    <mergeCell ref="Y2:Z4"/>
    <mergeCell ref="AA2:AB4"/>
    <mergeCell ref="AC2:AF4"/>
    <mergeCell ref="U2:V4"/>
    <mergeCell ref="W2:X4"/>
    <mergeCell ref="C9:E12"/>
    <mergeCell ref="F9:G12"/>
    <mergeCell ref="H9:I12"/>
    <mergeCell ref="J9:J10"/>
    <mergeCell ref="K9:K10"/>
    <mergeCell ref="AA5:AB20"/>
    <mergeCell ref="AC5:AF8"/>
    <mergeCell ref="J7:J8"/>
    <mergeCell ref="K7:K8"/>
    <mergeCell ref="L7:L8"/>
    <mergeCell ref="M7:M8"/>
    <mergeCell ref="N7:N8"/>
    <mergeCell ref="O7:O8"/>
    <mergeCell ref="P7:P8"/>
    <mergeCell ref="Q7:Q8"/>
    <mergeCell ref="R5:R6"/>
    <mergeCell ref="S5:S6"/>
    <mergeCell ref="T5:T6"/>
    <mergeCell ref="U5:V8"/>
    <mergeCell ref="W5:X8"/>
    <mergeCell ref="Y5:Z8"/>
    <mergeCell ref="R7:R8"/>
    <mergeCell ref="S7:S8"/>
    <mergeCell ref="T7:T8"/>
    <mergeCell ref="AC9:AF12"/>
    <mergeCell ref="J11:J12"/>
    <mergeCell ref="K11:K12"/>
    <mergeCell ref="L11:L12"/>
    <mergeCell ref="M11:M12"/>
    <mergeCell ref="N11:N12"/>
    <mergeCell ref="O11:O12"/>
    <mergeCell ref="P11:P12"/>
    <mergeCell ref="Q11:Q12"/>
    <mergeCell ref="R11:R12"/>
    <mergeCell ref="R9:R10"/>
    <mergeCell ref="S9:S10"/>
    <mergeCell ref="T9:T10"/>
    <mergeCell ref="U9:V12"/>
    <mergeCell ref="W9:X12"/>
    <mergeCell ref="Y9:Z12"/>
    <mergeCell ref="S11:S12"/>
    <mergeCell ref="T11:T12"/>
    <mergeCell ref="L9:L10"/>
    <mergeCell ref="AC13:AF16"/>
    <mergeCell ref="J15:J16"/>
    <mergeCell ref="K15:K16"/>
    <mergeCell ref="L15:L16"/>
    <mergeCell ref="M15:M16"/>
    <mergeCell ref="N15:N16"/>
    <mergeCell ref="O15:O16"/>
    <mergeCell ref="P15:P16"/>
    <mergeCell ref="Q15:Q16"/>
    <mergeCell ref="R15:R16"/>
    <mergeCell ref="R13:R14"/>
    <mergeCell ref="S13:S14"/>
    <mergeCell ref="T13:T14"/>
    <mergeCell ref="U13:V16"/>
    <mergeCell ref="W13:X16"/>
    <mergeCell ref="Y13:Z16"/>
    <mergeCell ref="S15:S16"/>
    <mergeCell ref="T15:T16"/>
    <mergeCell ref="L13:L14"/>
    <mergeCell ref="M13:M14"/>
    <mergeCell ref="N13:N14"/>
    <mergeCell ref="O13:O14"/>
    <mergeCell ref="P13:P14"/>
    <mergeCell ref="Q13:Q14"/>
    <mergeCell ref="AC17:AF20"/>
    <mergeCell ref="R17:R18"/>
    <mergeCell ref="S17:S18"/>
    <mergeCell ref="T17:T18"/>
    <mergeCell ref="U17:V20"/>
    <mergeCell ref="W17:X20"/>
    <mergeCell ref="Y17:Z20"/>
    <mergeCell ref="L17:L18"/>
    <mergeCell ref="M17:M18"/>
    <mergeCell ref="N17:N18"/>
    <mergeCell ref="O17:O18"/>
    <mergeCell ref="P17:P18"/>
    <mergeCell ref="Q17:Q18"/>
    <mergeCell ref="L19:L20"/>
    <mergeCell ref="M19:M20"/>
    <mergeCell ref="N19:N20"/>
    <mergeCell ref="O19:O20"/>
    <mergeCell ref="Q19:Q20"/>
    <mergeCell ref="R19:R20"/>
    <mergeCell ref="P19:P20"/>
    <mergeCell ref="S19:S20"/>
    <mergeCell ref="B9:B12"/>
    <mergeCell ref="B17:B20"/>
    <mergeCell ref="C17:E20"/>
    <mergeCell ref="F17:G20"/>
    <mergeCell ref="H17:I20"/>
    <mergeCell ref="J17:J18"/>
    <mergeCell ref="K17:K18"/>
    <mergeCell ref="J19:J20"/>
    <mergeCell ref="K19:K20"/>
    <mergeCell ref="B13:B16"/>
    <mergeCell ref="C13:E16"/>
    <mergeCell ref="F13:G16"/>
    <mergeCell ref="H13:I16"/>
    <mergeCell ref="J13:J14"/>
    <mergeCell ref="K13:K14"/>
  </mergeCells>
  <phoneticPr fontId="22"/>
  <conditionalFormatting sqref="W5:W6">
    <cfRule type="cellIs" dxfId="3" priority="1" stopIfTrue="1" operator="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A0D81-D4CA-4948-B4EB-6441D485D998}">
  <dimension ref="A1:AF100"/>
  <sheetViews>
    <sheetView view="pageBreakPreview" zoomScaleNormal="120" zoomScaleSheetLayoutView="100" workbookViewId="0">
      <selection activeCell="A2" sqref="A2:B2"/>
    </sheetView>
  </sheetViews>
  <sheetFormatPr defaultColWidth="9" defaultRowHeight="13" x14ac:dyDescent="0.2"/>
  <cols>
    <col min="12" max="12" width="10.08984375" customWidth="1"/>
  </cols>
  <sheetData>
    <row r="1" spans="1:32" ht="13.5" thickBot="1" x14ac:dyDescent="0.25"/>
    <row r="2" spans="1:32" s="27" customFormat="1" ht="23.25" customHeight="1" x14ac:dyDescent="0.2">
      <c r="A2" s="172" t="s">
        <v>157</v>
      </c>
      <c r="B2" s="173"/>
      <c r="C2" s="153" t="s">
        <v>0</v>
      </c>
      <c r="D2" s="154"/>
      <c r="E2" s="155"/>
      <c r="F2" s="162" t="s">
        <v>1</v>
      </c>
      <c r="G2" s="154"/>
      <c r="H2" s="259" t="s">
        <v>2</v>
      </c>
      <c r="I2" s="260"/>
      <c r="J2" s="265" t="s">
        <v>3</v>
      </c>
      <c r="K2" s="154"/>
      <c r="L2" s="154"/>
      <c r="M2" s="154"/>
      <c r="N2" s="154"/>
      <c r="O2" s="154"/>
      <c r="P2" s="154"/>
      <c r="Q2" s="154"/>
      <c r="R2" s="154"/>
      <c r="S2" s="154"/>
      <c r="T2" s="165"/>
      <c r="U2" s="110" t="s">
        <v>4</v>
      </c>
      <c r="V2" s="111"/>
      <c r="W2" s="114" t="s">
        <v>5</v>
      </c>
      <c r="X2" s="114"/>
      <c r="Y2" s="95" t="s">
        <v>6</v>
      </c>
      <c r="Z2" s="95"/>
      <c r="AA2" s="95" t="s">
        <v>7</v>
      </c>
      <c r="AB2" s="98"/>
      <c r="AC2" s="101" t="s">
        <v>8</v>
      </c>
      <c r="AD2" s="102"/>
      <c r="AE2" s="102"/>
      <c r="AF2" s="103"/>
    </row>
    <row r="3" spans="1:32" s="27" customFormat="1" ht="23.25" customHeight="1" x14ac:dyDescent="0.2">
      <c r="B3" s="28"/>
      <c r="C3" s="156"/>
      <c r="D3" s="157"/>
      <c r="E3" s="158"/>
      <c r="F3" s="163"/>
      <c r="G3" s="164"/>
      <c r="H3" s="261"/>
      <c r="I3" s="262"/>
      <c r="J3" s="164"/>
      <c r="K3" s="157"/>
      <c r="L3" s="157"/>
      <c r="M3" s="157"/>
      <c r="N3" s="157"/>
      <c r="O3" s="157"/>
      <c r="P3" s="157"/>
      <c r="Q3" s="157"/>
      <c r="R3" s="157"/>
      <c r="S3" s="157"/>
      <c r="T3" s="166"/>
      <c r="U3" s="112"/>
      <c r="V3" s="112"/>
      <c r="W3" s="115"/>
      <c r="X3" s="115"/>
      <c r="Y3" s="96"/>
      <c r="Z3" s="96"/>
      <c r="AA3" s="99"/>
      <c r="AB3" s="99"/>
      <c r="AC3" s="104"/>
      <c r="AD3" s="105"/>
      <c r="AE3" s="105"/>
      <c r="AF3" s="106"/>
    </row>
    <row r="4" spans="1:32" s="27" customFormat="1" ht="23.25" customHeight="1" thickBot="1" x14ac:dyDescent="0.25">
      <c r="A4" s="30"/>
      <c r="B4" s="28"/>
      <c r="C4" s="159"/>
      <c r="D4" s="160"/>
      <c r="E4" s="161"/>
      <c r="F4" s="258"/>
      <c r="G4" s="160"/>
      <c r="H4" s="263"/>
      <c r="I4" s="264"/>
      <c r="J4" s="160"/>
      <c r="K4" s="160"/>
      <c r="L4" s="160"/>
      <c r="M4" s="160"/>
      <c r="N4" s="160"/>
      <c r="O4" s="160"/>
      <c r="P4" s="160"/>
      <c r="Q4" s="160"/>
      <c r="R4" s="160"/>
      <c r="S4" s="160"/>
      <c r="T4" s="167"/>
      <c r="U4" s="113"/>
      <c r="V4" s="113"/>
      <c r="W4" s="116"/>
      <c r="X4" s="116"/>
      <c r="Y4" s="97"/>
      <c r="Z4" s="97"/>
      <c r="AA4" s="100"/>
      <c r="AB4" s="100"/>
      <c r="AC4" s="107"/>
      <c r="AD4" s="108"/>
      <c r="AE4" s="108"/>
      <c r="AF4" s="109"/>
    </row>
    <row r="5" spans="1:32" ht="23.25" customHeight="1" x14ac:dyDescent="0.2">
      <c r="A5" s="248" t="s">
        <v>9</v>
      </c>
      <c r="B5" s="250" t="s">
        <v>10</v>
      </c>
      <c r="C5" s="218" t="s">
        <v>40</v>
      </c>
      <c r="D5" s="42"/>
      <c r="E5" s="43"/>
      <c r="F5" s="200" t="s">
        <v>41</v>
      </c>
      <c r="G5" s="251"/>
      <c r="H5" s="256" t="s">
        <v>158</v>
      </c>
      <c r="I5" s="257"/>
      <c r="J5" s="55">
        <v>0</v>
      </c>
      <c r="K5" s="152">
        <v>10</v>
      </c>
      <c r="L5" s="86">
        <v>20</v>
      </c>
      <c r="M5" s="86">
        <v>30</v>
      </c>
      <c r="N5" s="86">
        <v>40</v>
      </c>
      <c r="O5" s="86">
        <v>50</v>
      </c>
      <c r="P5" s="168">
        <v>60</v>
      </c>
      <c r="Q5" s="86">
        <v>70</v>
      </c>
      <c r="R5" s="86">
        <v>80</v>
      </c>
      <c r="S5" s="86">
        <v>90</v>
      </c>
      <c r="T5" s="72">
        <v>100</v>
      </c>
      <c r="U5" s="243"/>
      <c r="V5" s="244"/>
      <c r="W5" s="245">
        <v>0.4</v>
      </c>
      <c r="X5" s="246"/>
      <c r="Y5" s="247">
        <f>U5*W5</f>
        <v>0</v>
      </c>
      <c r="Z5" s="247"/>
      <c r="AA5" s="237">
        <f>SUM(Y5:Z20)</f>
        <v>0</v>
      </c>
      <c r="AB5" s="238"/>
      <c r="AC5" s="174"/>
      <c r="AD5" s="175"/>
      <c r="AE5" s="175"/>
      <c r="AF5" s="176"/>
    </row>
    <row r="6" spans="1:32" ht="23.25" customHeight="1" x14ac:dyDescent="0.2">
      <c r="A6" s="136"/>
      <c r="B6" s="39"/>
      <c r="C6" s="44"/>
      <c r="D6" s="45"/>
      <c r="E6" s="46"/>
      <c r="F6" s="252"/>
      <c r="G6" s="253"/>
      <c r="H6" s="68"/>
      <c r="I6" s="67"/>
      <c r="J6" s="56"/>
      <c r="K6" s="40"/>
      <c r="L6" s="40"/>
      <c r="M6" s="40"/>
      <c r="N6" s="40"/>
      <c r="O6" s="40"/>
      <c r="P6" s="40"/>
      <c r="Q6" s="40"/>
      <c r="R6" s="40"/>
      <c r="S6" s="40"/>
      <c r="T6" s="73"/>
      <c r="U6" s="185"/>
      <c r="V6" s="186"/>
      <c r="W6" s="191"/>
      <c r="X6" s="192"/>
      <c r="Y6" s="195"/>
      <c r="Z6" s="195"/>
      <c r="AA6" s="239"/>
      <c r="AB6" s="240"/>
      <c r="AC6" s="177"/>
      <c r="AD6" s="178"/>
      <c r="AE6" s="178"/>
      <c r="AF6" s="179"/>
    </row>
    <row r="7" spans="1:32" ht="23.25" customHeight="1" x14ac:dyDescent="0.2">
      <c r="A7" s="136"/>
      <c r="B7" s="39"/>
      <c r="C7" s="44"/>
      <c r="D7" s="45"/>
      <c r="E7" s="46"/>
      <c r="F7" s="252"/>
      <c r="G7" s="253"/>
      <c r="H7" s="68"/>
      <c r="I7" s="67"/>
      <c r="J7" s="58" t="s">
        <v>11</v>
      </c>
      <c r="K7" s="92">
        <v>75</v>
      </c>
      <c r="L7" s="92">
        <v>80</v>
      </c>
      <c r="M7" s="92">
        <v>85</v>
      </c>
      <c r="N7" s="92">
        <v>90</v>
      </c>
      <c r="O7" s="92">
        <v>95</v>
      </c>
      <c r="P7" s="94">
        <v>1</v>
      </c>
      <c r="Q7" s="92">
        <v>105</v>
      </c>
      <c r="R7" s="92">
        <v>110</v>
      </c>
      <c r="S7" s="92">
        <v>115</v>
      </c>
      <c r="T7" s="93" t="s">
        <v>12</v>
      </c>
      <c r="U7" s="185"/>
      <c r="V7" s="186"/>
      <c r="W7" s="191"/>
      <c r="X7" s="192"/>
      <c r="Y7" s="195"/>
      <c r="Z7" s="195"/>
      <c r="AA7" s="239"/>
      <c r="AB7" s="240"/>
      <c r="AC7" s="177"/>
      <c r="AD7" s="178"/>
      <c r="AE7" s="178"/>
      <c r="AF7" s="179"/>
    </row>
    <row r="8" spans="1:32" ht="23.25" customHeight="1" thickBot="1" x14ac:dyDescent="0.25">
      <c r="A8" s="136"/>
      <c r="B8" s="40"/>
      <c r="C8" s="47"/>
      <c r="D8" s="48"/>
      <c r="E8" s="49"/>
      <c r="F8" s="254"/>
      <c r="G8" s="255"/>
      <c r="H8" s="68"/>
      <c r="I8" s="67"/>
      <c r="J8" s="59"/>
      <c r="K8" s="40"/>
      <c r="L8" s="40"/>
      <c r="M8" s="40"/>
      <c r="N8" s="40"/>
      <c r="O8" s="40"/>
      <c r="P8" s="40"/>
      <c r="Q8" s="40"/>
      <c r="R8" s="40"/>
      <c r="S8" s="40"/>
      <c r="T8" s="73"/>
      <c r="U8" s="213"/>
      <c r="V8" s="214"/>
      <c r="W8" s="215"/>
      <c r="X8" s="216"/>
      <c r="Y8" s="217"/>
      <c r="Z8" s="217"/>
      <c r="AA8" s="239"/>
      <c r="AB8" s="240"/>
      <c r="AC8" s="177"/>
      <c r="AD8" s="178"/>
      <c r="AE8" s="178"/>
      <c r="AF8" s="179"/>
    </row>
    <row r="9" spans="1:32" ht="23.25" customHeight="1" x14ac:dyDescent="0.2">
      <c r="A9" s="136"/>
      <c r="B9" s="199" t="s">
        <v>13</v>
      </c>
      <c r="C9" s="218" t="s">
        <v>22</v>
      </c>
      <c r="D9" s="42"/>
      <c r="E9" s="43"/>
      <c r="F9" s="231" t="s">
        <v>42</v>
      </c>
      <c r="G9" s="232"/>
      <c r="H9" s="66" t="s">
        <v>158</v>
      </c>
      <c r="I9" s="67"/>
      <c r="J9" s="55">
        <v>0</v>
      </c>
      <c r="K9" s="57">
        <v>10</v>
      </c>
      <c r="L9" s="57">
        <v>20</v>
      </c>
      <c r="M9" s="57">
        <v>30</v>
      </c>
      <c r="N9" s="57">
        <v>40</v>
      </c>
      <c r="O9" s="57">
        <v>50</v>
      </c>
      <c r="P9" s="83">
        <v>60</v>
      </c>
      <c r="Q9" s="57">
        <v>70</v>
      </c>
      <c r="R9" s="86">
        <v>80</v>
      </c>
      <c r="S9" s="86">
        <v>90</v>
      </c>
      <c r="T9" s="87">
        <v>100</v>
      </c>
      <c r="U9" s="183"/>
      <c r="V9" s="184"/>
      <c r="W9" s="189">
        <v>0.3</v>
      </c>
      <c r="X9" s="190"/>
      <c r="Y9" s="225">
        <f>U9*W9</f>
        <v>0</v>
      </c>
      <c r="Z9" s="226"/>
      <c r="AA9" s="239"/>
      <c r="AB9" s="240"/>
      <c r="AC9" s="174"/>
      <c r="AD9" s="175"/>
      <c r="AE9" s="175"/>
      <c r="AF9" s="176"/>
    </row>
    <row r="10" spans="1:32" ht="23.25" customHeight="1" x14ac:dyDescent="0.2">
      <c r="A10" s="136"/>
      <c r="B10" s="39"/>
      <c r="C10" s="44"/>
      <c r="D10" s="45"/>
      <c r="E10" s="46"/>
      <c r="F10" s="233"/>
      <c r="G10" s="234"/>
      <c r="H10" s="68"/>
      <c r="I10" s="67"/>
      <c r="J10" s="56"/>
      <c r="K10" s="40"/>
      <c r="L10" s="40"/>
      <c r="M10" s="40"/>
      <c r="N10" s="40"/>
      <c r="O10" s="40"/>
      <c r="P10" s="40"/>
      <c r="Q10" s="40"/>
      <c r="R10" s="40"/>
      <c r="S10" s="40"/>
      <c r="T10" s="73"/>
      <c r="U10" s="185"/>
      <c r="V10" s="186"/>
      <c r="W10" s="191"/>
      <c r="X10" s="192"/>
      <c r="Y10" s="227"/>
      <c r="Z10" s="228"/>
      <c r="AA10" s="239"/>
      <c r="AB10" s="240"/>
      <c r="AC10" s="177"/>
      <c r="AD10" s="178"/>
      <c r="AE10" s="178"/>
      <c r="AF10" s="179"/>
    </row>
    <row r="11" spans="1:32" ht="23.25" customHeight="1" x14ac:dyDescent="0.2">
      <c r="A11" s="136"/>
      <c r="B11" s="39"/>
      <c r="C11" s="44"/>
      <c r="D11" s="45"/>
      <c r="E11" s="46"/>
      <c r="F11" s="233"/>
      <c r="G11" s="234"/>
      <c r="H11" s="68"/>
      <c r="I11" s="67"/>
      <c r="J11" s="58" t="s">
        <v>11</v>
      </c>
      <c r="K11" s="92">
        <v>75</v>
      </c>
      <c r="L11" s="92">
        <v>80</v>
      </c>
      <c r="M11" s="92">
        <v>85</v>
      </c>
      <c r="N11" s="92">
        <v>90</v>
      </c>
      <c r="O11" s="92">
        <v>95</v>
      </c>
      <c r="P11" s="94">
        <v>1</v>
      </c>
      <c r="Q11" s="92">
        <v>105</v>
      </c>
      <c r="R11" s="92">
        <v>110</v>
      </c>
      <c r="S11" s="92">
        <v>115</v>
      </c>
      <c r="T11" s="93" t="s">
        <v>12</v>
      </c>
      <c r="U11" s="172"/>
      <c r="V11" s="186"/>
      <c r="W11" s="191"/>
      <c r="X11" s="192"/>
      <c r="Y11" s="227"/>
      <c r="Z11" s="228"/>
      <c r="AA11" s="239"/>
      <c r="AB11" s="240"/>
      <c r="AC11" s="177"/>
      <c r="AD11" s="178"/>
      <c r="AE11" s="178"/>
      <c r="AF11" s="179"/>
    </row>
    <row r="12" spans="1:32" ht="23.25" customHeight="1" thickBot="1" x14ac:dyDescent="0.25">
      <c r="A12" s="136"/>
      <c r="B12" s="40"/>
      <c r="C12" s="47"/>
      <c r="D12" s="48"/>
      <c r="E12" s="49"/>
      <c r="F12" s="235"/>
      <c r="G12" s="236"/>
      <c r="H12" s="68"/>
      <c r="I12" s="67"/>
      <c r="J12" s="59"/>
      <c r="K12" s="40"/>
      <c r="L12" s="40"/>
      <c r="M12" s="40"/>
      <c r="N12" s="39"/>
      <c r="O12" s="40"/>
      <c r="P12" s="40"/>
      <c r="Q12" s="40"/>
      <c r="R12" s="40"/>
      <c r="S12" s="40"/>
      <c r="T12" s="73"/>
      <c r="U12" s="224"/>
      <c r="V12" s="214"/>
      <c r="W12" s="215"/>
      <c r="X12" s="216"/>
      <c r="Y12" s="229"/>
      <c r="Z12" s="230"/>
      <c r="AA12" s="239"/>
      <c r="AB12" s="240"/>
      <c r="AC12" s="177"/>
      <c r="AD12" s="178"/>
      <c r="AE12" s="178"/>
      <c r="AF12" s="179"/>
    </row>
    <row r="13" spans="1:32" ht="23.25" customHeight="1" x14ac:dyDescent="0.2">
      <c r="A13" s="136"/>
      <c r="B13" s="199" t="s">
        <v>16</v>
      </c>
      <c r="C13" s="218" t="s">
        <v>23</v>
      </c>
      <c r="D13" s="42"/>
      <c r="E13" s="43"/>
      <c r="F13" s="200" t="s">
        <v>143</v>
      </c>
      <c r="G13" s="219"/>
      <c r="H13" s="66" t="s">
        <v>159</v>
      </c>
      <c r="I13" s="67"/>
      <c r="J13" s="55">
        <v>0</v>
      </c>
      <c r="K13" s="57">
        <v>10</v>
      </c>
      <c r="L13" s="57">
        <v>20</v>
      </c>
      <c r="M13" s="79">
        <v>30</v>
      </c>
      <c r="N13" s="57">
        <v>40</v>
      </c>
      <c r="O13" s="81">
        <v>50</v>
      </c>
      <c r="P13" s="83">
        <v>60</v>
      </c>
      <c r="Q13" s="57">
        <v>70</v>
      </c>
      <c r="R13" s="57">
        <v>80</v>
      </c>
      <c r="S13" s="57">
        <v>90</v>
      </c>
      <c r="T13" s="72">
        <v>100</v>
      </c>
      <c r="U13" s="183"/>
      <c r="V13" s="184"/>
      <c r="W13" s="189">
        <v>0.15</v>
      </c>
      <c r="X13" s="190"/>
      <c r="Y13" s="195">
        <f>U13*W13</f>
        <v>0</v>
      </c>
      <c r="Z13" s="195"/>
      <c r="AA13" s="239"/>
      <c r="AB13" s="240"/>
      <c r="AC13" s="174"/>
      <c r="AD13" s="175"/>
      <c r="AE13" s="175"/>
      <c r="AF13" s="176"/>
    </row>
    <row r="14" spans="1:32" ht="23.25" customHeight="1" x14ac:dyDescent="0.2">
      <c r="A14" s="136"/>
      <c r="B14" s="39"/>
      <c r="C14" s="44"/>
      <c r="D14" s="45"/>
      <c r="E14" s="46"/>
      <c r="F14" s="220"/>
      <c r="G14" s="221"/>
      <c r="H14" s="68"/>
      <c r="I14" s="67"/>
      <c r="J14" s="56"/>
      <c r="K14" s="40"/>
      <c r="L14" s="40"/>
      <c r="M14" s="80"/>
      <c r="N14" s="40"/>
      <c r="O14" s="82"/>
      <c r="P14" s="40"/>
      <c r="Q14" s="40"/>
      <c r="R14" s="40"/>
      <c r="S14" s="40"/>
      <c r="T14" s="73"/>
      <c r="U14" s="185"/>
      <c r="V14" s="186"/>
      <c r="W14" s="191"/>
      <c r="X14" s="192"/>
      <c r="Y14" s="195"/>
      <c r="Z14" s="195"/>
      <c r="AA14" s="239"/>
      <c r="AB14" s="240"/>
      <c r="AC14" s="177"/>
      <c r="AD14" s="178"/>
      <c r="AE14" s="178"/>
      <c r="AF14" s="179"/>
    </row>
    <row r="15" spans="1:32" ht="23.25" customHeight="1" x14ac:dyDescent="0.2">
      <c r="A15" s="136"/>
      <c r="B15" s="39"/>
      <c r="C15" s="44"/>
      <c r="D15" s="45"/>
      <c r="E15" s="46"/>
      <c r="F15" s="220"/>
      <c r="G15" s="221"/>
      <c r="H15" s="68"/>
      <c r="I15" s="67"/>
      <c r="J15" s="58" t="s">
        <v>24</v>
      </c>
      <c r="K15" s="92">
        <v>10</v>
      </c>
      <c r="L15" s="92">
        <v>20</v>
      </c>
      <c r="M15" s="92">
        <v>30</v>
      </c>
      <c r="N15" s="92">
        <v>40</v>
      </c>
      <c r="O15" s="92">
        <v>50</v>
      </c>
      <c r="P15" s="94">
        <v>0.7</v>
      </c>
      <c r="Q15" s="92">
        <v>80</v>
      </c>
      <c r="R15" s="92">
        <v>90</v>
      </c>
      <c r="S15" s="92">
        <v>100</v>
      </c>
      <c r="T15" s="93" t="s">
        <v>144</v>
      </c>
      <c r="U15" s="185"/>
      <c r="V15" s="186"/>
      <c r="W15" s="191"/>
      <c r="X15" s="192"/>
      <c r="Y15" s="195"/>
      <c r="Z15" s="195"/>
      <c r="AA15" s="239"/>
      <c r="AB15" s="240"/>
      <c r="AC15" s="177"/>
      <c r="AD15" s="178"/>
      <c r="AE15" s="178"/>
      <c r="AF15" s="179"/>
    </row>
    <row r="16" spans="1:32" ht="23.25" customHeight="1" thickBot="1" x14ac:dyDescent="0.25">
      <c r="A16" s="136"/>
      <c r="B16" s="40"/>
      <c r="C16" s="47"/>
      <c r="D16" s="48"/>
      <c r="E16" s="49"/>
      <c r="F16" s="222"/>
      <c r="G16" s="223"/>
      <c r="H16" s="68"/>
      <c r="I16" s="67"/>
      <c r="J16" s="59"/>
      <c r="K16" s="40"/>
      <c r="L16" s="40"/>
      <c r="M16" s="40"/>
      <c r="N16" s="39"/>
      <c r="O16" s="40"/>
      <c r="P16" s="40"/>
      <c r="Q16" s="40"/>
      <c r="R16" s="40"/>
      <c r="S16" s="40"/>
      <c r="T16" s="73"/>
      <c r="U16" s="213"/>
      <c r="V16" s="214"/>
      <c r="W16" s="215"/>
      <c r="X16" s="216"/>
      <c r="Y16" s="217"/>
      <c r="Z16" s="217"/>
      <c r="AA16" s="239"/>
      <c r="AB16" s="240"/>
      <c r="AC16" s="177"/>
      <c r="AD16" s="178"/>
      <c r="AE16" s="178"/>
      <c r="AF16" s="179"/>
    </row>
    <row r="17" spans="1:32" ht="23.25" customHeight="1" x14ac:dyDescent="0.2">
      <c r="A17" s="136"/>
      <c r="B17" s="199" t="s">
        <v>20</v>
      </c>
      <c r="C17" s="200" t="s">
        <v>25</v>
      </c>
      <c r="D17" s="201"/>
      <c r="E17" s="202"/>
      <c r="F17" s="209" t="s">
        <v>145</v>
      </c>
      <c r="G17" s="119"/>
      <c r="H17" s="66" t="s">
        <v>158</v>
      </c>
      <c r="I17" s="67"/>
      <c r="J17" s="212">
        <v>0</v>
      </c>
      <c r="K17" s="57">
        <v>10</v>
      </c>
      <c r="L17" s="57">
        <v>20</v>
      </c>
      <c r="M17" s="57">
        <v>30</v>
      </c>
      <c r="N17" s="57">
        <v>40</v>
      </c>
      <c r="O17" s="57">
        <v>50</v>
      </c>
      <c r="P17" s="197">
        <v>60</v>
      </c>
      <c r="Q17" s="57">
        <v>70</v>
      </c>
      <c r="R17" s="57">
        <v>80</v>
      </c>
      <c r="S17" s="57">
        <v>90</v>
      </c>
      <c r="T17" s="87">
        <v>100</v>
      </c>
      <c r="U17" s="183"/>
      <c r="V17" s="184"/>
      <c r="W17" s="189">
        <v>0.15</v>
      </c>
      <c r="X17" s="190"/>
      <c r="Y17" s="195">
        <f>U17*W17</f>
        <v>0</v>
      </c>
      <c r="Z17" s="195"/>
      <c r="AA17" s="239"/>
      <c r="AB17" s="240"/>
      <c r="AC17" s="174"/>
      <c r="AD17" s="175"/>
      <c r="AE17" s="175"/>
      <c r="AF17" s="176"/>
    </row>
    <row r="18" spans="1:32" ht="23.25" customHeight="1" x14ac:dyDescent="0.2">
      <c r="A18" s="136"/>
      <c r="B18" s="39"/>
      <c r="C18" s="203"/>
      <c r="D18" s="204"/>
      <c r="E18" s="205"/>
      <c r="F18" s="120"/>
      <c r="G18" s="122"/>
      <c r="H18" s="68"/>
      <c r="I18" s="67"/>
      <c r="J18" s="56"/>
      <c r="K18" s="40"/>
      <c r="L18" s="40"/>
      <c r="M18" s="40"/>
      <c r="N18" s="40"/>
      <c r="O18" s="40"/>
      <c r="P18" s="198"/>
      <c r="Q18" s="40"/>
      <c r="R18" s="40"/>
      <c r="S18" s="40"/>
      <c r="T18" s="73"/>
      <c r="U18" s="185"/>
      <c r="V18" s="186"/>
      <c r="W18" s="191"/>
      <c r="X18" s="192"/>
      <c r="Y18" s="195"/>
      <c r="Z18" s="195"/>
      <c r="AA18" s="239"/>
      <c r="AB18" s="240"/>
      <c r="AC18" s="177"/>
      <c r="AD18" s="178"/>
      <c r="AE18" s="178"/>
      <c r="AF18" s="179"/>
    </row>
    <row r="19" spans="1:32" ht="23.25" customHeight="1" x14ac:dyDescent="0.2">
      <c r="A19" s="136"/>
      <c r="B19" s="39"/>
      <c r="C19" s="203"/>
      <c r="D19" s="204"/>
      <c r="E19" s="205"/>
      <c r="F19" s="120"/>
      <c r="G19" s="122"/>
      <c r="H19" s="68"/>
      <c r="I19" s="67"/>
      <c r="J19" s="58" t="s">
        <v>24</v>
      </c>
      <c r="K19" s="92">
        <v>10</v>
      </c>
      <c r="L19" s="92">
        <v>20</v>
      </c>
      <c r="M19" s="92">
        <v>30</v>
      </c>
      <c r="N19" s="92">
        <v>40</v>
      </c>
      <c r="O19" s="92">
        <v>50</v>
      </c>
      <c r="P19" s="94">
        <v>0.6</v>
      </c>
      <c r="Q19" s="92">
        <v>70</v>
      </c>
      <c r="R19" s="92">
        <v>80</v>
      </c>
      <c r="S19" s="92">
        <v>90</v>
      </c>
      <c r="T19" s="93">
        <v>100</v>
      </c>
      <c r="U19" s="185"/>
      <c r="V19" s="186"/>
      <c r="W19" s="191"/>
      <c r="X19" s="192"/>
      <c r="Y19" s="195"/>
      <c r="Z19" s="195"/>
      <c r="AA19" s="239"/>
      <c r="AB19" s="240"/>
      <c r="AC19" s="177"/>
      <c r="AD19" s="178"/>
      <c r="AE19" s="178"/>
      <c r="AF19" s="179"/>
    </row>
    <row r="20" spans="1:32" ht="23.25" customHeight="1" thickBot="1" x14ac:dyDescent="0.25">
      <c r="A20" s="249"/>
      <c r="B20" s="40"/>
      <c r="C20" s="206"/>
      <c r="D20" s="207"/>
      <c r="E20" s="208"/>
      <c r="F20" s="80"/>
      <c r="G20" s="82"/>
      <c r="H20" s="210"/>
      <c r="I20" s="211"/>
      <c r="J20" s="59"/>
      <c r="K20" s="40"/>
      <c r="L20" s="40"/>
      <c r="M20" s="40"/>
      <c r="N20" s="40"/>
      <c r="O20" s="40"/>
      <c r="P20" s="40"/>
      <c r="Q20" s="40"/>
      <c r="R20" s="40"/>
      <c r="S20" s="40"/>
      <c r="T20" s="73"/>
      <c r="U20" s="187"/>
      <c r="V20" s="188"/>
      <c r="W20" s="193"/>
      <c r="X20" s="194"/>
      <c r="Y20" s="196"/>
      <c r="Z20" s="196"/>
      <c r="AA20" s="241"/>
      <c r="AB20" s="242"/>
      <c r="AC20" s="180"/>
      <c r="AD20" s="181"/>
      <c r="AE20" s="181"/>
      <c r="AF20" s="182"/>
    </row>
    <row r="22" spans="1:32" x14ac:dyDescent="0.2">
      <c r="A22" t="s">
        <v>26</v>
      </c>
      <c r="G22" s="27" t="s">
        <v>139</v>
      </c>
      <c r="H22" s="27" t="s">
        <v>127</v>
      </c>
      <c r="I22" s="27" t="s">
        <v>128</v>
      </c>
      <c r="J22" s="27" t="s">
        <v>129</v>
      </c>
      <c r="K22" s="27" t="s">
        <v>130</v>
      </c>
      <c r="L22" s="27" t="s">
        <v>131</v>
      </c>
      <c r="M22" s="27" t="s">
        <v>132</v>
      </c>
      <c r="N22" s="27" t="s">
        <v>133</v>
      </c>
      <c r="O22" s="27" t="s">
        <v>134</v>
      </c>
      <c r="P22" s="27" t="s">
        <v>135</v>
      </c>
      <c r="Q22" s="27" t="s">
        <v>136</v>
      </c>
      <c r="R22" s="27" t="s">
        <v>137</v>
      </c>
      <c r="S22" s="27" t="s">
        <v>138</v>
      </c>
    </row>
    <row r="23" spans="1:32" x14ac:dyDescent="0.2">
      <c r="G23" t="s">
        <v>50</v>
      </c>
      <c r="H23">
        <v>1212750</v>
      </c>
      <c r="I23">
        <v>1131900</v>
      </c>
      <c r="J23">
        <v>1212750</v>
      </c>
      <c r="K23">
        <v>1148070</v>
      </c>
      <c r="L23">
        <v>1212750</v>
      </c>
      <c r="M23">
        <v>1212750</v>
      </c>
      <c r="N23">
        <v>1196580</v>
      </c>
      <c r="O23">
        <v>1212750</v>
      </c>
      <c r="P23">
        <v>1180410</v>
      </c>
      <c r="Q23">
        <v>1212750</v>
      </c>
      <c r="R23">
        <v>1212750</v>
      </c>
      <c r="S23">
        <v>1350195</v>
      </c>
    </row>
    <row r="24" spans="1:32" x14ac:dyDescent="0.2">
      <c r="A24" s="26" t="s">
        <v>27</v>
      </c>
      <c r="G24" t="s">
        <v>51</v>
      </c>
      <c r="H24">
        <v>4514816</v>
      </c>
      <c r="I24">
        <v>4109188</v>
      </c>
      <c r="J24">
        <v>4179732</v>
      </c>
      <c r="K24">
        <v>3906374</v>
      </c>
      <c r="L24">
        <v>4109188</v>
      </c>
      <c r="M24">
        <v>3994554</v>
      </c>
      <c r="N24">
        <v>4188550</v>
      </c>
      <c r="O24">
        <v>4241458</v>
      </c>
      <c r="P24">
        <v>4364910</v>
      </c>
      <c r="Q24">
        <v>4109188</v>
      </c>
      <c r="R24">
        <v>3994554</v>
      </c>
      <c r="S24">
        <v>4259094</v>
      </c>
    </row>
    <row r="25" spans="1:32" x14ac:dyDescent="0.2">
      <c r="A25" s="26" t="s">
        <v>28</v>
      </c>
      <c r="G25" t="s">
        <v>52</v>
      </c>
      <c r="H25">
        <v>1592745</v>
      </c>
      <c r="I25">
        <v>1617000</v>
      </c>
      <c r="J25">
        <v>1495725</v>
      </c>
      <c r="K25">
        <v>1164240</v>
      </c>
      <c r="L25">
        <v>1439130</v>
      </c>
      <c r="M25">
        <v>1463385</v>
      </c>
      <c r="N25">
        <v>1584660</v>
      </c>
      <c r="O25">
        <v>1641255</v>
      </c>
      <c r="P25">
        <v>1576575</v>
      </c>
      <c r="Q25">
        <v>1487640</v>
      </c>
      <c r="R25">
        <v>1422960</v>
      </c>
      <c r="S25">
        <v>1447215</v>
      </c>
    </row>
    <row r="26" spans="1:32" x14ac:dyDescent="0.2">
      <c r="A26" s="26" t="s">
        <v>29</v>
      </c>
      <c r="G26" t="s">
        <v>53</v>
      </c>
      <c r="H26">
        <v>2295000</v>
      </c>
      <c r="I26">
        <v>2295000</v>
      </c>
      <c r="J26">
        <v>2295000</v>
      </c>
      <c r="K26">
        <v>2295000</v>
      </c>
      <c r="L26">
        <v>2295000</v>
      </c>
      <c r="M26">
        <v>2295000</v>
      </c>
      <c r="N26">
        <v>2439500</v>
      </c>
      <c r="O26">
        <v>2397000</v>
      </c>
      <c r="P26">
        <v>2303500</v>
      </c>
      <c r="Q26">
        <v>2295000</v>
      </c>
      <c r="R26">
        <v>2227000</v>
      </c>
      <c r="S26">
        <v>2320500</v>
      </c>
    </row>
    <row r="27" spans="1:32" x14ac:dyDescent="0.2">
      <c r="A27" s="26" t="s">
        <v>30</v>
      </c>
      <c r="G27" t="s">
        <v>54</v>
      </c>
      <c r="H27">
        <v>400000</v>
      </c>
      <c r="I27">
        <v>500000</v>
      </c>
      <c r="J27">
        <v>600000</v>
      </c>
      <c r="K27">
        <v>700000</v>
      </c>
      <c r="L27">
        <v>800000</v>
      </c>
      <c r="M27">
        <v>900000</v>
      </c>
      <c r="N27">
        <v>1000000</v>
      </c>
      <c r="O27">
        <v>1100000</v>
      </c>
      <c r="P27">
        <v>1200000</v>
      </c>
      <c r="Q27">
        <v>1300000</v>
      </c>
      <c r="R27">
        <v>1400000</v>
      </c>
      <c r="S27">
        <v>1500000</v>
      </c>
    </row>
    <row r="28" spans="1:32" x14ac:dyDescent="0.2">
      <c r="G28" t="s">
        <v>55</v>
      </c>
      <c r="H28">
        <v>2225344</v>
      </c>
      <c r="I28">
        <v>1985544</v>
      </c>
      <c r="J28">
        <v>2033504</v>
      </c>
      <c r="K28">
        <v>2110240</v>
      </c>
      <c r="L28">
        <v>2110240</v>
      </c>
      <c r="M28">
        <v>2110240</v>
      </c>
      <c r="N28">
        <v>2155716</v>
      </c>
      <c r="O28">
        <v>2211228</v>
      </c>
      <c r="P28">
        <v>2201976</v>
      </c>
      <c r="Q28">
        <v>2035440</v>
      </c>
      <c r="R28">
        <v>2035440</v>
      </c>
      <c r="S28">
        <v>2303748</v>
      </c>
    </row>
    <row r="29" spans="1:32" x14ac:dyDescent="0.2">
      <c r="G29" t="s">
        <v>56</v>
      </c>
      <c r="H29">
        <v>1290000</v>
      </c>
      <c r="I29">
        <v>1290000</v>
      </c>
      <c r="J29">
        <v>1290000</v>
      </c>
      <c r="K29">
        <v>1290000</v>
      </c>
      <c r="L29">
        <v>1290000</v>
      </c>
      <c r="M29">
        <v>1290000</v>
      </c>
      <c r="N29">
        <v>1290000</v>
      </c>
      <c r="O29">
        <v>1290000</v>
      </c>
      <c r="P29">
        <v>1298600</v>
      </c>
      <c r="Q29">
        <v>1376000</v>
      </c>
      <c r="R29">
        <v>1376000</v>
      </c>
      <c r="S29">
        <v>1307200</v>
      </c>
    </row>
    <row r="30" spans="1:32" x14ac:dyDescent="0.2">
      <c r="G30" t="s">
        <v>57</v>
      </c>
      <c r="H30">
        <v>1398704</v>
      </c>
      <c r="I30">
        <v>1260674</v>
      </c>
      <c r="J30">
        <v>1288280</v>
      </c>
      <c r="K30">
        <v>1131846</v>
      </c>
      <c r="L30">
        <v>1214664</v>
      </c>
      <c r="M30">
        <v>1260674</v>
      </c>
      <c r="N30">
        <v>1361896</v>
      </c>
      <c r="O30">
        <v>1058230</v>
      </c>
      <c r="P30">
        <v>1306684</v>
      </c>
      <c r="Q30">
        <v>1159452</v>
      </c>
      <c r="R30">
        <v>1214664</v>
      </c>
      <c r="S30">
        <v>1187058</v>
      </c>
    </row>
    <row r="31" spans="1:32" x14ac:dyDescent="0.2">
      <c r="G31" t="s">
        <v>58</v>
      </c>
      <c r="H31">
        <v>5810148</v>
      </c>
      <c r="I31">
        <v>5430636</v>
      </c>
      <c r="J31">
        <v>5638464</v>
      </c>
      <c r="K31">
        <v>5385456</v>
      </c>
      <c r="L31">
        <v>5213772</v>
      </c>
      <c r="M31">
        <v>5430636</v>
      </c>
      <c r="N31">
        <v>6027012</v>
      </c>
      <c r="O31">
        <v>6108336</v>
      </c>
      <c r="P31">
        <v>5783040</v>
      </c>
      <c r="Q31">
        <v>5421600</v>
      </c>
      <c r="R31">
        <v>5421600</v>
      </c>
      <c r="S31">
        <v>5710752</v>
      </c>
    </row>
    <row r="32" spans="1:32" x14ac:dyDescent="0.2">
      <c r="G32" t="s">
        <v>59</v>
      </c>
      <c r="H32">
        <v>2074000</v>
      </c>
      <c r="I32">
        <v>2133500</v>
      </c>
      <c r="J32">
        <v>2252500</v>
      </c>
      <c r="K32">
        <v>2006000</v>
      </c>
      <c r="L32">
        <v>1972000</v>
      </c>
      <c r="M32">
        <v>2193000</v>
      </c>
      <c r="N32">
        <v>2167500</v>
      </c>
      <c r="O32">
        <v>2218500</v>
      </c>
      <c r="P32">
        <v>2482000</v>
      </c>
      <c r="Q32">
        <v>2269500</v>
      </c>
      <c r="R32">
        <v>2278000</v>
      </c>
      <c r="S32">
        <v>2422500</v>
      </c>
    </row>
    <row r="33" spans="7:19" x14ac:dyDescent="0.2">
      <c r="G33" t="s">
        <v>60</v>
      </c>
      <c r="H33">
        <v>708260</v>
      </c>
      <c r="I33">
        <v>708260</v>
      </c>
      <c r="J33">
        <v>708260</v>
      </c>
      <c r="K33">
        <v>708260</v>
      </c>
      <c r="L33">
        <v>1001682</v>
      </c>
      <c r="M33">
        <v>1001682</v>
      </c>
      <c r="N33">
        <v>1001682</v>
      </c>
      <c r="O33">
        <v>1001682</v>
      </c>
      <c r="P33">
        <v>1001682</v>
      </c>
      <c r="Q33">
        <v>1001682</v>
      </c>
      <c r="R33">
        <v>1001682</v>
      </c>
      <c r="S33">
        <v>1001682</v>
      </c>
    </row>
    <row r="34" spans="7:19" x14ac:dyDescent="0.2">
      <c r="G34" t="s">
        <v>61</v>
      </c>
      <c r="H34">
        <v>5693483</v>
      </c>
      <c r="I34">
        <v>4556853</v>
      </c>
      <c r="J34">
        <v>5125168</v>
      </c>
      <c r="K34">
        <v>5125168</v>
      </c>
      <c r="L34">
        <v>5404159</v>
      </c>
      <c r="M34">
        <v>5404159</v>
      </c>
      <c r="N34">
        <v>5693483</v>
      </c>
      <c r="O34">
        <v>5693483</v>
      </c>
      <c r="P34">
        <v>5125168</v>
      </c>
      <c r="Q34">
        <v>5125168</v>
      </c>
      <c r="R34">
        <v>5125168</v>
      </c>
      <c r="S34">
        <v>5693483</v>
      </c>
    </row>
    <row r="35" spans="7:19" x14ac:dyDescent="0.2">
      <c r="G35" t="s">
        <v>62</v>
      </c>
      <c r="H35">
        <v>1585359</v>
      </c>
      <c r="I35">
        <v>1265310</v>
      </c>
      <c r="J35">
        <v>1429056</v>
      </c>
      <c r="K35">
        <v>1429056</v>
      </c>
      <c r="L35">
        <v>1503486</v>
      </c>
      <c r="M35">
        <v>1503486</v>
      </c>
      <c r="N35">
        <v>1585359</v>
      </c>
      <c r="O35">
        <v>1585359</v>
      </c>
      <c r="P35">
        <v>1429056</v>
      </c>
      <c r="Q35">
        <v>1488600</v>
      </c>
      <c r="R35">
        <v>1488600</v>
      </c>
      <c r="S35">
        <v>1585359</v>
      </c>
    </row>
    <row r="36" spans="7:19" x14ac:dyDescent="0.2">
      <c r="G36" t="s">
        <v>63</v>
      </c>
      <c r="H36">
        <v>300000</v>
      </c>
      <c r="I36">
        <v>400000</v>
      </c>
      <c r="J36">
        <v>500000</v>
      </c>
      <c r="K36">
        <v>600000</v>
      </c>
      <c r="L36">
        <v>700000</v>
      </c>
      <c r="M36">
        <v>800000</v>
      </c>
      <c r="N36">
        <v>900000</v>
      </c>
      <c r="O36">
        <v>1000000</v>
      </c>
      <c r="P36">
        <v>1100000</v>
      </c>
      <c r="Q36">
        <v>1200000</v>
      </c>
      <c r="R36">
        <v>1300000</v>
      </c>
      <c r="S36">
        <v>1400000</v>
      </c>
    </row>
    <row r="37" spans="7:19" x14ac:dyDescent="0.2">
      <c r="G37" t="s">
        <v>64</v>
      </c>
      <c r="H37">
        <v>2745080</v>
      </c>
      <c r="I37">
        <v>2006020</v>
      </c>
      <c r="J37">
        <v>2745080</v>
      </c>
      <c r="K37">
        <v>2745080</v>
      </c>
      <c r="L37">
        <v>2745080</v>
      </c>
      <c r="M37">
        <v>2745080</v>
      </c>
      <c r="N37">
        <v>2745080</v>
      </c>
      <c r="O37">
        <v>2745080</v>
      </c>
      <c r="P37">
        <v>2745080</v>
      </c>
      <c r="Q37">
        <v>2745080</v>
      </c>
      <c r="R37">
        <v>2745080</v>
      </c>
      <c r="S37">
        <v>2745080</v>
      </c>
    </row>
    <row r="38" spans="7:19" x14ac:dyDescent="0.2">
      <c r="G38" t="s">
        <v>65</v>
      </c>
      <c r="H38">
        <v>1906560</v>
      </c>
      <c r="I38">
        <v>1529220</v>
      </c>
      <c r="J38">
        <v>1717890</v>
      </c>
      <c r="K38">
        <v>1717890</v>
      </c>
      <c r="L38">
        <v>1807260</v>
      </c>
      <c r="M38">
        <v>1807260</v>
      </c>
      <c r="N38">
        <v>1906560</v>
      </c>
      <c r="O38">
        <v>1906560</v>
      </c>
      <c r="P38">
        <v>1717890</v>
      </c>
      <c r="Q38">
        <v>1717890</v>
      </c>
      <c r="R38">
        <v>1717890</v>
      </c>
      <c r="S38">
        <v>1906560</v>
      </c>
    </row>
    <row r="39" spans="7:19" x14ac:dyDescent="0.2">
      <c r="G39" t="s">
        <v>66</v>
      </c>
      <c r="H39">
        <v>2374520</v>
      </c>
      <c r="I39">
        <v>2374520</v>
      </c>
      <c r="J39">
        <v>2374520</v>
      </c>
      <c r="K39">
        <v>2374520</v>
      </c>
      <c r="L39">
        <v>2374520</v>
      </c>
      <c r="M39">
        <v>2374520</v>
      </c>
      <c r="N39">
        <v>2374520</v>
      </c>
      <c r="O39">
        <v>2374520</v>
      </c>
      <c r="P39">
        <v>2374520</v>
      </c>
      <c r="Q39">
        <v>2374520</v>
      </c>
      <c r="R39">
        <v>2374520</v>
      </c>
      <c r="S39">
        <v>2374520</v>
      </c>
    </row>
    <row r="40" spans="7:19" x14ac:dyDescent="0.2">
      <c r="G40" t="s">
        <v>67</v>
      </c>
      <c r="H40">
        <v>3302370</v>
      </c>
      <c r="I40">
        <v>2641896</v>
      </c>
      <c r="J40">
        <v>2976210</v>
      </c>
      <c r="K40">
        <v>2976210</v>
      </c>
      <c r="L40">
        <v>3139290</v>
      </c>
      <c r="M40">
        <v>3139290</v>
      </c>
      <c r="N40">
        <v>3302370</v>
      </c>
      <c r="O40">
        <v>3302370</v>
      </c>
      <c r="P40">
        <v>2976210</v>
      </c>
      <c r="Q40">
        <v>2976210</v>
      </c>
      <c r="R40">
        <v>2976210</v>
      </c>
      <c r="S40">
        <v>3302370</v>
      </c>
    </row>
    <row r="41" spans="7:19" x14ac:dyDescent="0.2">
      <c r="G41" t="s">
        <v>68</v>
      </c>
      <c r="H41">
        <v>1385368</v>
      </c>
      <c r="I41">
        <v>1323600</v>
      </c>
      <c r="J41">
        <v>1244184</v>
      </c>
      <c r="K41">
        <v>1244184</v>
      </c>
      <c r="L41">
        <v>1314776</v>
      </c>
      <c r="M41">
        <v>1314776</v>
      </c>
      <c r="N41">
        <v>1385368</v>
      </c>
      <c r="O41">
        <v>1385368</v>
      </c>
      <c r="P41">
        <v>1323600</v>
      </c>
      <c r="Q41">
        <v>1323600</v>
      </c>
      <c r="R41">
        <v>1323600</v>
      </c>
      <c r="S41">
        <v>1385368</v>
      </c>
    </row>
    <row r="42" spans="7:19" x14ac:dyDescent="0.2">
      <c r="G42" t="s">
        <v>69</v>
      </c>
      <c r="H42">
        <v>4165284</v>
      </c>
      <c r="I42">
        <v>3336706</v>
      </c>
      <c r="J42">
        <v>3750995</v>
      </c>
      <c r="K42">
        <v>3750995</v>
      </c>
      <c r="L42">
        <v>3952541</v>
      </c>
      <c r="M42">
        <v>3952541</v>
      </c>
      <c r="N42">
        <v>4165284</v>
      </c>
      <c r="O42">
        <v>4165284</v>
      </c>
      <c r="P42">
        <v>3750995</v>
      </c>
      <c r="Q42">
        <v>3750995</v>
      </c>
      <c r="R42">
        <v>3750995</v>
      </c>
      <c r="S42">
        <v>4165284</v>
      </c>
    </row>
    <row r="43" spans="7:19" x14ac:dyDescent="0.2">
      <c r="G43" t="s">
        <v>70</v>
      </c>
      <c r="H43">
        <v>2899314</v>
      </c>
      <c r="I43">
        <v>2323356</v>
      </c>
      <c r="J43">
        <v>2606454</v>
      </c>
      <c r="K43">
        <v>2606454</v>
      </c>
      <c r="L43">
        <v>2752884</v>
      </c>
      <c r="M43">
        <v>2752884</v>
      </c>
      <c r="N43">
        <v>2899314</v>
      </c>
      <c r="O43">
        <v>2899314</v>
      </c>
      <c r="P43">
        <v>2606454</v>
      </c>
      <c r="Q43">
        <v>2606454</v>
      </c>
      <c r="R43">
        <v>2606454</v>
      </c>
      <c r="S43">
        <v>2899314</v>
      </c>
    </row>
    <row r="44" spans="7:19" x14ac:dyDescent="0.2">
      <c r="G44" t="s">
        <v>71</v>
      </c>
      <c r="H44">
        <v>1794249</v>
      </c>
      <c r="I44">
        <v>1439454</v>
      </c>
      <c r="J44">
        <v>1611783</v>
      </c>
      <c r="K44">
        <v>1611783</v>
      </c>
      <c r="L44">
        <v>1703016</v>
      </c>
      <c r="M44">
        <v>1703016</v>
      </c>
      <c r="N44">
        <v>1794249</v>
      </c>
      <c r="O44">
        <v>1794249</v>
      </c>
      <c r="P44">
        <v>1611783</v>
      </c>
      <c r="Q44">
        <v>1611783</v>
      </c>
      <c r="R44">
        <v>1611783</v>
      </c>
      <c r="S44">
        <v>1794249</v>
      </c>
    </row>
    <row r="45" spans="7:19" x14ac:dyDescent="0.2">
      <c r="G45" t="s">
        <v>72</v>
      </c>
      <c r="H45">
        <v>1029470</v>
      </c>
      <c r="I45">
        <v>791900</v>
      </c>
      <c r="J45">
        <v>950280</v>
      </c>
      <c r="K45">
        <v>1069065</v>
      </c>
      <c r="L45">
        <v>1069065</v>
      </c>
      <c r="M45">
        <v>1148255</v>
      </c>
      <c r="N45">
        <v>1267040</v>
      </c>
      <c r="O45">
        <v>1267040</v>
      </c>
      <c r="P45">
        <v>1140336</v>
      </c>
      <c r="Q45">
        <v>1140336</v>
      </c>
      <c r="R45">
        <v>1140336</v>
      </c>
      <c r="S45">
        <v>1140336</v>
      </c>
    </row>
    <row r="46" spans="7:19" x14ac:dyDescent="0.2">
      <c r="G46" t="s">
        <v>73</v>
      </c>
      <c r="H46">
        <v>3601400</v>
      </c>
      <c r="I46">
        <v>3617770</v>
      </c>
      <c r="J46">
        <v>3601400</v>
      </c>
      <c r="K46">
        <v>3601400</v>
      </c>
      <c r="L46">
        <v>3601400</v>
      </c>
      <c r="M46">
        <v>3601400</v>
      </c>
      <c r="N46">
        <v>3601400</v>
      </c>
      <c r="O46">
        <v>3601400</v>
      </c>
      <c r="P46">
        <v>3601400</v>
      </c>
      <c r="Q46">
        <v>3601400</v>
      </c>
      <c r="R46">
        <v>3601400</v>
      </c>
      <c r="S46">
        <v>3601400</v>
      </c>
    </row>
    <row r="47" spans="7:19" x14ac:dyDescent="0.2">
      <c r="G47" t="s">
        <v>74</v>
      </c>
      <c r="H47">
        <v>6054066</v>
      </c>
      <c r="I47">
        <v>4841343</v>
      </c>
      <c r="J47">
        <v>5452479</v>
      </c>
      <c r="K47">
        <v>5452479</v>
      </c>
      <c r="L47">
        <v>5748498</v>
      </c>
      <c r="M47">
        <v>5748498</v>
      </c>
      <c r="N47">
        <v>6054066</v>
      </c>
      <c r="O47">
        <v>6054066</v>
      </c>
      <c r="P47">
        <v>5452479</v>
      </c>
      <c r="Q47">
        <v>5452479</v>
      </c>
      <c r="R47">
        <v>5452479</v>
      </c>
      <c r="S47">
        <v>6054066</v>
      </c>
    </row>
    <row r="48" spans="7:19" x14ac:dyDescent="0.2">
      <c r="G48" t="s">
        <v>75</v>
      </c>
      <c r="H48">
        <v>1320330</v>
      </c>
      <c r="I48">
        <v>1056264</v>
      </c>
      <c r="J48">
        <v>1160290</v>
      </c>
      <c r="K48">
        <v>1200300</v>
      </c>
      <c r="L48">
        <v>1256314</v>
      </c>
      <c r="M48">
        <v>1424356</v>
      </c>
      <c r="N48">
        <v>1584396</v>
      </c>
      <c r="O48">
        <v>1584396</v>
      </c>
      <c r="P48">
        <v>1360340</v>
      </c>
      <c r="Q48">
        <v>1120280</v>
      </c>
      <c r="R48">
        <v>1200300</v>
      </c>
      <c r="S48">
        <v>1280320</v>
      </c>
    </row>
    <row r="49" spans="7:19" x14ac:dyDescent="0.2">
      <c r="G49" t="s">
        <v>76</v>
      </c>
      <c r="J49">
        <v>200000</v>
      </c>
      <c r="K49">
        <v>300000</v>
      </c>
      <c r="L49">
        <v>400000</v>
      </c>
      <c r="M49">
        <v>500000</v>
      </c>
      <c r="N49">
        <v>600000</v>
      </c>
      <c r="O49">
        <v>700000</v>
      </c>
      <c r="P49">
        <v>800000</v>
      </c>
      <c r="Q49">
        <v>900000</v>
      </c>
      <c r="R49">
        <v>1000000</v>
      </c>
      <c r="S49">
        <v>1100000</v>
      </c>
    </row>
    <row r="50" spans="7:19" x14ac:dyDescent="0.2">
      <c r="G50" t="s">
        <v>77</v>
      </c>
      <c r="H50">
        <v>1720355</v>
      </c>
      <c r="I50">
        <v>1374555</v>
      </c>
      <c r="J50">
        <v>1547455</v>
      </c>
      <c r="K50">
        <v>1547455</v>
      </c>
      <c r="L50">
        <v>1633905</v>
      </c>
      <c r="M50">
        <v>1633905</v>
      </c>
      <c r="N50">
        <v>1720355</v>
      </c>
      <c r="O50">
        <v>1720355</v>
      </c>
      <c r="P50">
        <v>1547455</v>
      </c>
      <c r="Q50">
        <v>1547455</v>
      </c>
      <c r="R50">
        <v>1547455</v>
      </c>
      <c r="S50">
        <v>1720355</v>
      </c>
    </row>
    <row r="51" spans="7:19" x14ac:dyDescent="0.2">
      <c r="G51" t="s">
        <v>78</v>
      </c>
      <c r="H51">
        <v>1215393</v>
      </c>
      <c r="I51">
        <v>1223550</v>
      </c>
      <c r="J51">
        <v>1223550</v>
      </c>
      <c r="K51">
        <v>1223550</v>
      </c>
      <c r="L51">
        <v>1223550</v>
      </c>
      <c r="M51">
        <v>1223550</v>
      </c>
      <c r="N51">
        <v>1215393</v>
      </c>
      <c r="O51">
        <v>1215393</v>
      </c>
      <c r="P51">
        <v>1223550</v>
      </c>
      <c r="Q51">
        <v>1223550</v>
      </c>
      <c r="R51">
        <v>1386690</v>
      </c>
      <c r="S51">
        <v>1386690</v>
      </c>
    </row>
    <row r="52" spans="7:19" x14ac:dyDescent="0.2">
      <c r="G52" t="s">
        <v>79</v>
      </c>
      <c r="H52">
        <v>1039800</v>
      </c>
      <c r="I52">
        <v>1005140</v>
      </c>
      <c r="J52">
        <v>1135115</v>
      </c>
      <c r="K52">
        <v>1135115</v>
      </c>
      <c r="L52">
        <v>1195770</v>
      </c>
      <c r="M52">
        <v>1195770</v>
      </c>
      <c r="N52">
        <v>1256425</v>
      </c>
      <c r="O52">
        <v>1256425</v>
      </c>
      <c r="P52">
        <v>823175</v>
      </c>
      <c r="Q52">
        <v>883830</v>
      </c>
      <c r="R52">
        <v>892495</v>
      </c>
      <c r="S52">
        <v>1256425</v>
      </c>
    </row>
    <row r="53" spans="7:19" x14ac:dyDescent="0.2">
      <c r="G53" t="s">
        <v>80</v>
      </c>
      <c r="H53">
        <v>3517150</v>
      </c>
      <c r="I53">
        <v>2813720</v>
      </c>
      <c r="J53">
        <v>3170846</v>
      </c>
      <c r="K53">
        <v>3170846</v>
      </c>
      <c r="L53">
        <v>3343998</v>
      </c>
      <c r="M53">
        <v>3343998</v>
      </c>
      <c r="N53">
        <v>3517150</v>
      </c>
      <c r="O53">
        <v>3517150</v>
      </c>
      <c r="P53">
        <v>3170846</v>
      </c>
      <c r="Q53">
        <v>3170846</v>
      </c>
      <c r="R53">
        <v>3170846</v>
      </c>
      <c r="S53">
        <v>3517150</v>
      </c>
    </row>
    <row r="54" spans="7:19" x14ac:dyDescent="0.2">
      <c r="G54" t="s">
        <v>81</v>
      </c>
      <c r="H54">
        <v>2552319</v>
      </c>
      <c r="I54">
        <v>2400300</v>
      </c>
      <c r="J54">
        <v>2400300</v>
      </c>
      <c r="K54">
        <v>2400300</v>
      </c>
      <c r="L54">
        <v>2424303</v>
      </c>
      <c r="M54">
        <v>2424303</v>
      </c>
      <c r="N54">
        <v>2552319</v>
      </c>
      <c r="O54">
        <v>2552319</v>
      </c>
      <c r="P54">
        <v>2400300</v>
      </c>
      <c r="Q54">
        <v>2400300</v>
      </c>
      <c r="R54">
        <v>2400300</v>
      </c>
      <c r="S54">
        <v>2552319</v>
      </c>
    </row>
    <row r="55" spans="7:19" x14ac:dyDescent="0.2">
      <c r="G55" t="s">
        <v>82</v>
      </c>
      <c r="H55">
        <v>1722480</v>
      </c>
      <c r="I55">
        <v>1722480</v>
      </c>
      <c r="J55">
        <v>1722480</v>
      </c>
      <c r="K55">
        <v>1722480</v>
      </c>
      <c r="L55">
        <v>1722480</v>
      </c>
      <c r="M55">
        <v>1722480</v>
      </c>
      <c r="N55">
        <v>1722480</v>
      </c>
      <c r="O55">
        <v>1722480</v>
      </c>
      <c r="P55">
        <v>1722480</v>
      </c>
      <c r="Q55">
        <v>1722480</v>
      </c>
      <c r="R55">
        <v>1722480</v>
      </c>
      <c r="S55">
        <v>1722480</v>
      </c>
    </row>
    <row r="56" spans="7:19" x14ac:dyDescent="0.2">
      <c r="G56" t="s">
        <v>83</v>
      </c>
      <c r="H56">
        <v>1584906</v>
      </c>
      <c r="I56">
        <v>1533780</v>
      </c>
      <c r="J56">
        <v>1533780</v>
      </c>
      <c r="K56">
        <v>1533780</v>
      </c>
      <c r="L56">
        <v>1533780</v>
      </c>
      <c r="M56">
        <v>1533780</v>
      </c>
      <c r="N56">
        <v>1584906</v>
      </c>
      <c r="O56">
        <v>1584906</v>
      </c>
      <c r="P56">
        <v>1618990</v>
      </c>
      <c r="Q56">
        <v>1618990</v>
      </c>
      <c r="R56">
        <v>1533780</v>
      </c>
      <c r="S56">
        <v>1584906</v>
      </c>
    </row>
    <row r="57" spans="7:19" x14ac:dyDescent="0.2">
      <c r="G57" t="s">
        <v>84</v>
      </c>
      <c r="H57">
        <v>1769090</v>
      </c>
      <c r="I57">
        <v>1769090</v>
      </c>
      <c r="J57">
        <v>1769090</v>
      </c>
      <c r="K57">
        <v>1769090</v>
      </c>
      <c r="L57">
        <v>1769090</v>
      </c>
      <c r="M57">
        <v>1769090</v>
      </c>
      <c r="N57">
        <v>1769090</v>
      </c>
      <c r="O57">
        <v>1769090</v>
      </c>
      <c r="P57">
        <v>1769090</v>
      </c>
      <c r="Q57">
        <v>1769090</v>
      </c>
      <c r="R57">
        <v>1769090</v>
      </c>
      <c r="S57">
        <v>1769090</v>
      </c>
    </row>
    <row r="58" spans="7:19" x14ac:dyDescent="0.2">
      <c r="G58" t="s">
        <v>85</v>
      </c>
      <c r="H58">
        <v>2027800</v>
      </c>
      <c r="I58">
        <v>1622240</v>
      </c>
      <c r="J58">
        <v>1825020</v>
      </c>
      <c r="K58">
        <v>1825020</v>
      </c>
      <c r="L58">
        <v>1926410</v>
      </c>
      <c r="M58">
        <v>1926410</v>
      </c>
      <c r="N58">
        <v>2027800</v>
      </c>
      <c r="O58">
        <v>2027800</v>
      </c>
      <c r="P58">
        <v>1825020</v>
      </c>
      <c r="Q58">
        <v>1470155</v>
      </c>
      <c r="R58">
        <v>1672935</v>
      </c>
      <c r="S58">
        <v>2027800</v>
      </c>
    </row>
    <row r="59" spans="7:19" x14ac:dyDescent="0.2">
      <c r="G59" t="s">
        <v>86</v>
      </c>
      <c r="H59">
        <v>1312200</v>
      </c>
      <c r="I59">
        <v>1125900</v>
      </c>
      <c r="J59">
        <v>1271700</v>
      </c>
      <c r="K59">
        <v>1255500</v>
      </c>
      <c r="L59">
        <v>1312200</v>
      </c>
      <c r="M59">
        <v>1328400</v>
      </c>
      <c r="N59">
        <v>1522800</v>
      </c>
      <c r="O59">
        <v>1522800</v>
      </c>
      <c r="P59">
        <v>1368900</v>
      </c>
      <c r="Q59">
        <v>1368900</v>
      </c>
      <c r="R59">
        <v>1336500</v>
      </c>
      <c r="S59">
        <v>1522800</v>
      </c>
    </row>
    <row r="60" spans="7:19" x14ac:dyDescent="0.2">
      <c r="G60" t="s">
        <v>87</v>
      </c>
      <c r="H60">
        <v>5001248</v>
      </c>
      <c r="I60">
        <v>4002720</v>
      </c>
      <c r="J60">
        <v>4501984</v>
      </c>
      <c r="K60">
        <v>4501984</v>
      </c>
      <c r="L60">
        <v>4751616</v>
      </c>
      <c r="M60">
        <v>4751616</v>
      </c>
      <c r="N60">
        <v>5001248</v>
      </c>
      <c r="O60">
        <v>5001248</v>
      </c>
      <c r="P60">
        <v>4501984</v>
      </c>
      <c r="Q60">
        <v>4501984</v>
      </c>
      <c r="R60">
        <v>4501984</v>
      </c>
      <c r="S60">
        <v>5001248</v>
      </c>
    </row>
    <row r="61" spans="7:19" x14ac:dyDescent="0.2">
      <c r="G61" t="s">
        <v>88</v>
      </c>
      <c r="H61">
        <v>1359040</v>
      </c>
      <c r="I61">
        <v>1087232</v>
      </c>
      <c r="J61">
        <v>1227520</v>
      </c>
      <c r="K61">
        <v>1227520</v>
      </c>
      <c r="L61">
        <v>1288896</v>
      </c>
      <c r="M61">
        <v>1288896</v>
      </c>
      <c r="N61">
        <v>1359040</v>
      </c>
      <c r="O61">
        <v>1359040</v>
      </c>
      <c r="P61">
        <v>1227520</v>
      </c>
      <c r="Q61">
        <v>1227520</v>
      </c>
      <c r="R61">
        <v>1227520</v>
      </c>
      <c r="S61">
        <v>1359040</v>
      </c>
    </row>
    <row r="62" spans="7:19" x14ac:dyDescent="0.2">
      <c r="G62" t="s">
        <v>89</v>
      </c>
      <c r="H62">
        <v>1012770</v>
      </c>
      <c r="I62">
        <v>810216</v>
      </c>
      <c r="J62">
        <v>915244</v>
      </c>
      <c r="K62">
        <v>915244</v>
      </c>
      <c r="L62">
        <v>960256</v>
      </c>
      <c r="M62">
        <v>960256</v>
      </c>
      <c r="N62">
        <v>1012770</v>
      </c>
      <c r="O62">
        <v>1012770</v>
      </c>
      <c r="P62">
        <v>915244</v>
      </c>
      <c r="Q62">
        <v>915244</v>
      </c>
      <c r="R62">
        <v>915244</v>
      </c>
      <c r="S62">
        <v>1012770</v>
      </c>
    </row>
    <row r="63" spans="7:19" x14ac:dyDescent="0.2">
      <c r="G63" t="s">
        <v>90</v>
      </c>
      <c r="H63">
        <v>2539520</v>
      </c>
      <c r="I63">
        <v>2380800</v>
      </c>
      <c r="J63">
        <v>2380800</v>
      </c>
      <c r="K63">
        <v>2380800</v>
      </c>
      <c r="L63">
        <v>2412544</v>
      </c>
      <c r="M63">
        <v>2412544</v>
      </c>
      <c r="N63">
        <v>2539520</v>
      </c>
      <c r="O63">
        <v>2539520</v>
      </c>
      <c r="P63">
        <v>2380800</v>
      </c>
      <c r="Q63">
        <v>2380800</v>
      </c>
      <c r="R63">
        <v>2460160</v>
      </c>
      <c r="S63">
        <v>2539520</v>
      </c>
    </row>
    <row r="64" spans="7:19" x14ac:dyDescent="0.2">
      <c r="G64" t="s">
        <v>91</v>
      </c>
      <c r="H64">
        <v>853380</v>
      </c>
      <c r="I64">
        <v>853380</v>
      </c>
      <c r="J64">
        <v>853380</v>
      </c>
      <c r="K64">
        <v>853380</v>
      </c>
      <c r="L64">
        <v>853380</v>
      </c>
      <c r="M64">
        <v>1008540</v>
      </c>
      <c r="N64">
        <v>1086120</v>
      </c>
      <c r="O64">
        <v>1163700</v>
      </c>
      <c r="P64">
        <v>1163700</v>
      </c>
      <c r="Q64">
        <v>1163700</v>
      </c>
      <c r="R64">
        <v>1163700</v>
      </c>
      <c r="S64">
        <v>1163700</v>
      </c>
    </row>
    <row r="65" spans="7:19" x14ac:dyDescent="0.2">
      <c r="G65" t="s">
        <v>92</v>
      </c>
      <c r="H65">
        <v>300000</v>
      </c>
      <c r="I65">
        <v>400000</v>
      </c>
      <c r="J65">
        <v>500000</v>
      </c>
      <c r="K65">
        <v>600000</v>
      </c>
      <c r="L65">
        <v>700000</v>
      </c>
      <c r="M65">
        <v>800000</v>
      </c>
      <c r="N65">
        <v>900000</v>
      </c>
      <c r="O65">
        <v>1000000</v>
      </c>
      <c r="P65">
        <v>1100000</v>
      </c>
      <c r="Q65">
        <v>1200000</v>
      </c>
      <c r="R65">
        <v>1300000</v>
      </c>
      <c r="S65">
        <v>1400000</v>
      </c>
    </row>
    <row r="66" spans="7:19" x14ac:dyDescent="0.2">
      <c r="G66" t="s">
        <v>93</v>
      </c>
      <c r="H66">
        <v>200000</v>
      </c>
      <c r="I66">
        <v>300000</v>
      </c>
      <c r="J66">
        <v>400000</v>
      </c>
      <c r="K66">
        <v>500000</v>
      </c>
      <c r="L66">
        <v>600000</v>
      </c>
      <c r="M66">
        <v>700000</v>
      </c>
      <c r="N66">
        <v>800000</v>
      </c>
      <c r="O66">
        <v>900000</v>
      </c>
      <c r="P66">
        <v>1000000</v>
      </c>
      <c r="Q66">
        <v>1000000</v>
      </c>
      <c r="R66">
        <v>1100000</v>
      </c>
      <c r="S66">
        <v>1200000</v>
      </c>
    </row>
    <row r="67" spans="7:19" x14ac:dyDescent="0.2">
      <c r="G67" t="s">
        <v>94</v>
      </c>
      <c r="H67">
        <v>6001359</v>
      </c>
      <c r="I67">
        <v>5588310</v>
      </c>
      <c r="J67">
        <v>5685498</v>
      </c>
      <c r="K67">
        <v>5434429</v>
      </c>
      <c r="L67">
        <v>4980885</v>
      </c>
      <c r="M67">
        <v>5304845</v>
      </c>
      <c r="N67">
        <v>5766488</v>
      </c>
      <c r="O67">
        <v>6333418</v>
      </c>
      <c r="P67">
        <v>5685498</v>
      </c>
      <c r="Q67">
        <v>5936567</v>
      </c>
      <c r="R67">
        <v>5377736</v>
      </c>
      <c r="S67">
        <v>6325319</v>
      </c>
    </row>
    <row r="68" spans="7:19" x14ac:dyDescent="0.2">
      <c r="G68" t="s">
        <v>95</v>
      </c>
      <c r="H68">
        <v>2150895</v>
      </c>
      <c r="I68">
        <v>1765998</v>
      </c>
      <c r="J68">
        <v>2015049</v>
      </c>
      <c r="K68">
        <v>1615058</v>
      </c>
      <c r="L68">
        <v>1690528</v>
      </c>
      <c r="M68">
        <v>1803733</v>
      </c>
      <c r="N68">
        <v>2082972</v>
      </c>
      <c r="O68">
        <v>2075425</v>
      </c>
      <c r="P68">
        <v>1984861</v>
      </c>
      <c r="Q68">
        <v>1954673</v>
      </c>
      <c r="R68">
        <v>1864109</v>
      </c>
      <c r="S68">
        <v>2045237</v>
      </c>
    </row>
    <row r="69" spans="7:19" x14ac:dyDescent="0.2">
      <c r="G69" t="s">
        <v>96</v>
      </c>
      <c r="H69">
        <v>1925300</v>
      </c>
      <c r="I69">
        <v>1851250</v>
      </c>
      <c r="J69">
        <v>1925300</v>
      </c>
      <c r="K69">
        <v>1925300</v>
      </c>
      <c r="L69">
        <v>1925300</v>
      </c>
      <c r="M69">
        <v>1925300</v>
      </c>
      <c r="N69">
        <v>1925300</v>
      </c>
      <c r="O69">
        <v>1925300</v>
      </c>
      <c r="P69">
        <v>1925300</v>
      </c>
      <c r="Q69">
        <v>1925300</v>
      </c>
      <c r="R69">
        <v>1925300</v>
      </c>
      <c r="S69">
        <v>1925300</v>
      </c>
    </row>
    <row r="70" spans="7:19" x14ac:dyDescent="0.2">
      <c r="G70" t="s">
        <v>97</v>
      </c>
      <c r="H70">
        <v>1571712</v>
      </c>
      <c r="I70">
        <v>1317946</v>
      </c>
      <c r="J70">
        <v>1309760</v>
      </c>
      <c r="K70">
        <v>1195156</v>
      </c>
      <c r="L70">
        <v>1178784</v>
      </c>
      <c r="M70">
        <v>1203342</v>
      </c>
      <c r="N70">
        <v>1350690</v>
      </c>
      <c r="O70">
        <v>1522596</v>
      </c>
      <c r="P70">
        <v>1538968</v>
      </c>
      <c r="Q70">
        <v>1391620</v>
      </c>
      <c r="R70">
        <v>1342504</v>
      </c>
      <c r="S70">
        <v>1268830</v>
      </c>
    </row>
    <row r="71" spans="7:19" x14ac:dyDescent="0.2">
      <c r="G71" t="s">
        <v>98</v>
      </c>
      <c r="H71">
        <v>3168572</v>
      </c>
      <c r="I71">
        <v>2806184</v>
      </c>
      <c r="J71">
        <v>3112820</v>
      </c>
      <c r="K71">
        <v>2778308</v>
      </c>
      <c r="L71">
        <v>2852644</v>
      </c>
      <c r="M71">
        <v>2964148</v>
      </c>
      <c r="N71">
        <v>3363704</v>
      </c>
      <c r="O71">
        <v>3475208</v>
      </c>
      <c r="P71">
        <v>3419456</v>
      </c>
      <c r="Q71">
        <v>2852644</v>
      </c>
      <c r="R71">
        <v>2611052</v>
      </c>
      <c r="S71">
        <v>3317244</v>
      </c>
    </row>
    <row r="72" spans="7:19" x14ac:dyDescent="0.2">
      <c r="G72" t="s">
        <v>99</v>
      </c>
      <c r="H72">
        <v>2350350</v>
      </c>
      <c r="I72">
        <v>2350350</v>
      </c>
      <c r="J72">
        <v>2350350</v>
      </c>
      <c r="K72">
        <v>2350350</v>
      </c>
      <c r="L72">
        <v>2350350</v>
      </c>
      <c r="M72">
        <v>2350350</v>
      </c>
      <c r="N72">
        <v>2393875</v>
      </c>
      <c r="O72">
        <v>2350350</v>
      </c>
      <c r="P72">
        <v>2332940</v>
      </c>
      <c r="Q72">
        <v>2350350</v>
      </c>
      <c r="R72">
        <v>2350350</v>
      </c>
      <c r="S72">
        <v>2332940</v>
      </c>
    </row>
    <row r="73" spans="7:19" x14ac:dyDescent="0.2">
      <c r="G73" t="s">
        <v>100</v>
      </c>
      <c r="H73">
        <v>1000000</v>
      </c>
      <c r="I73">
        <v>1000000</v>
      </c>
      <c r="J73">
        <v>1000000</v>
      </c>
      <c r="K73">
        <v>1000000</v>
      </c>
      <c r="L73">
        <v>1000000</v>
      </c>
      <c r="M73">
        <v>1000000</v>
      </c>
      <c r="N73">
        <v>1000000</v>
      </c>
      <c r="O73">
        <v>1000000</v>
      </c>
      <c r="P73">
        <v>1000000</v>
      </c>
      <c r="Q73">
        <v>1000000</v>
      </c>
      <c r="R73">
        <v>1000000</v>
      </c>
      <c r="S73">
        <v>1000000</v>
      </c>
    </row>
    <row r="74" spans="7:19" x14ac:dyDescent="0.2">
      <c r="G74" t="s">
        <v>101</v>
      </c>
      <c r="H74">
        <v>1420520</v>
      </c>
      <c r="I74">
        <v>1420520</v>
      </c>
      <c r="J74">
        <v>1420520</v>
      </c>
      <c r="K74">
        <v>1420520</v>
      </c>
      <c r="L74">
        <v>1420520</v>
      </c>
      <c r="M74">
        <v>1420520</v>
      </c>
      <c r="N74">
        <v>1420520</v>
      </c>
      <c r="O74">
        <v>1420520</v>
      </c>
      <c r="P74">
        <v>1420520</v>
      </c>
      <c r="Q74">
        <v>1420520</v>
      </c>
      <c r="R74">
        <v>1420520</v>
      </c>
      <c r="S74">
        <v>1420520</v>
      </c>
    </row>
    <row r="75" spans="7:19" x14ac:dyDescent="0.2">
      <c r="G75" t="s">
        <v>102</v>
      </c>
      <c r="H75">
        <v>2722300</v>
      </c>
      <c r="I75">
        <v>2722300</v>
      </c>
      <c r="J75">
        <v>2722300</v>
      </c>
      <c r="K75">
        <v>2722300</v>
      </c>
      <c r="L75">
        <v>2722300</v>
      </c>
      <c r="M75">
        <v>2722300</v>
      </c>
      <c r="N75">
        <v>2722300</v>
      </c>
      <c r="O75">
        <v>2722300</v>
      </c>
      <c r="P75">
        <v>2722300</v>
      </c>
      <c r="Q75">
        <v>2722300</v>
      </c>
      <c r="R75">
        <v>2722300</v>
      </c>
      <c r="S75">
        <v>2722300</v>
      </c>
    </row>
    <row r="76" spans="7:19" x14ac:dyDescent="0.2">
      <c r="G76" t="s">
        <v>103</v>
      </c>
      <c r="H76">
        <v>1025202</v>
      </c>
      <c r="I76">
        <v>1079160</v>
      </c>
      <c r="J76">
        <v>1079160</v>
      </c>
      <c r="K76">
        <v>800377</v>
      </c>
      <c r="L76">
        <v>1079160</v>
      </c>
      <c r="M76">
        <v>1160097</v>
      </c>
      <c r="N76">
        <v>1214055</v>
      </c>
      <c r="O76">
        <v>1393915</v>
      </c>
      <c r="P76">
        <v>1007216</v>
      </c>
      <c r="Q76">
        <v>1016209</v>
      </c>
      <c r="R76">
        <v>1016209</v>
      </c>
      <c r="S76">
        <v>1016209</v>
      </c>
    </row>
    <row r="77" spans="7:19" x14ac:dyDescent="0.2">
      <c r="G77" t="s">
        <v>104</v>
      </c>
      <c r="H77">
        <v>1854720</v>
      </c>
      <c r="I77">
        <v>1854720</v>
      </c>
      <c r="J77">
        <v>1854720</v>
      </c>
      <c r="K77">
        <v>1854720</v>
      </c>
      <c r="L77">
        <v>1854720</v>
      </c>
      <c r="M77">
        <v>1854720</v>
      </c>
      <c r="N77">
        <v>1854720</v>
      </c>
      <c r="O77">
        <v>1854720</v>
      </c>
      <c r="P77">
        <v>1854720</v>
      </c>
      <c r="Q77">
        <v>1854720</v>
      </c>
      <c r="R77">
        <v>1854720</v>
      </c>
      <c r="S77">
        <v>1854720</v>
      </c>
    </row>
    <row r="78" spans="7:19" x14ac:dyDescent="0.2">
      <c r="G78" t="s">
        <v>105</v>
      </c>
      <c r="H78">
        <v>400000</v>
      </c>
      <c r="I78">
        <v>500000</v>
      </c>
      <c r="J78">
        <v>600000</v>
      </c>
      <c r="K78">
        <v>700000</v>
      </c>
      <c r="L78">
        <v>800000</v>
      </c>
      <c r="M78">
        <v>900000</v>
      </c>
      <c r="N78">
        <v>1000000</v>
      </c>
      <c r="O78">
        <v>1100000</v>
      </c>
      <c r="P78">
        <v>1200000</v>
      </c>
      <c r="Q78">
        <v>1300000</v>
      </c>
      <c r="R78">
        <v>1400000</v>
      </c>
      <c r="S78">
        <v>1500000</v>
      </c>
    </row>
    <row r="79" spans="7:19" x14ac:dyDescent="0.2">
      <c r="G79" t="s">
        <v>106</v>
      </c>
      <c r="H79">
        <v>1522170</v>
      </c>
      <c r="I79">
        <v>1303602</v>
      </c>
      <c r="J79">
        <v>1358244</v>
      </c>
      <c r="K79">
        <v>1217736</v>
      </c>
      <c r="L79">
        <v>1248960</v>
      </c>
      <c r="M79">
        <v>1241154</v>
      </c>
      <c r="N79">
        <v>1303602</v>
      </c>
      <c r="O79">
        <v>1436304</v>
      </c>
      <c r="P79">
        <v>1436304</v>
      </c>
      <c r="Q79">
        <v>1248960</v>
      </c>
      <c r="R79">
        <v>1248960</v>
      </c>
      <c r="S79">
        <v>1303602</v>
      </c>
    </row>
    <row r="80" spans="7:19" x14ac:dyDescent="0.2">
      <c r="G80" t="s">
        <v>107</v>
      </c>
      <c r="H80">
        <v>1000000</v>
      </c>
      <c r="I80">
        <v>1000000</v>
      </c>
      <c r="J80">
        <v>1000000</v>
      </c>
      <c r="K80">
        <v>1000000</v>
      </c>
      <c r="L80">
        <v>1000000</v>
      </c>
      <c r="M80">
        <v>1000000</v>
      </c>
      <c r="N80">
        <v>1000000</v>
      </c>
      <c r="O80">
        <v>1000000</v>
      </c>
      <c r="P80">
        <v>1000000</v>
      </c>
      <c r="Q80">
        <v>1000000</v>
      </c>
      <c r="R80">
        <v>1000000</v>
      </c>
      <c r="S80">
        <v>1000000</v>
      </c>
    </row>
    <row r="81" spans="7:19" x14ac:dyDescent="0.2">
      <c r="G81" t="s">
        <v>108</v>
      </c>
      <c r="H81">
        <v>4252320</v>
      </c>
      <c r="I81">
        <v>4213552</v>
      </c>
      <c r="J81">
        <v>4597908</v>
      </c>
      <c r="K81">
        <v>4386480</v>
      </c>
      <c r="L81">
        <v>4122000</v>
      </c>
      <c r="M81">
        <v>4113200</v>
      </c>
      <c r="N81">
        <v>4170896</v>
      </c>
      <c r="O81">
        <v>4199118</v>
      </c>
      <c r="P81">
        <v>4180596</v>
      </c>
      <c r="Q81">
        <v>4173246</v>
      </c>
      <c r="R81">
        <v>4218516</v>
      </c>
      <c r="S81">
        <v>4569170</v>
      </c>
    </row>
    <row r="82" spans="7:19" x14ac:dyDescent="0.2">
      <c r="G82" t="s">
        <v>109</v>
      </c>
      <c r="H82">
        <v>1001000</v>
      </c>
      <c r="I82">
        <v>1001000</v>
      </c>
      <c r="J82">
        <v>1001000</v>
      </c>
      <c r="K82">
        <v>1001000</v>
      </c>
      <c r="L82">
        <v>1001000</v>
      </c>
      <c r="M82">
        <v>1001000</v>
      </c>
      <c r="N82">
        <v>1001000</v>
      </c>
      <c r="O82">
        <v>1001000</v>
      </c>
      <c r="P82">
        <v>1001000</v>
      </c>
      <c r="Q82">
        <v>1001000</v>
      </c>
      <c r="R82">
        <v>1001000</v>
      </c>
      <c r="S82">
        <v>1001000</v>
      </c>
    </row>
    <row r="83" spans="7:19" x14ac:dyDescent="0.2">
      <c r="G83" t="s">
        <v>110</v>
      </c>
      <c r="H83">
        <v>2150460</v>
      </c>
      <c r="I83">
        <v>2076142</v>
      </c>
      <c r="J83">
        <v>2423425</v>
      </c>
      <c r="K83">
        <v>2194560</v>
      </c>
      <c r="L83">
        <v>2232930</v>
      </c>
      <c r="M83">
        <v>2222478</v>
      </c>
      <c r="N83">
        <v>2190980</v>
      </c>
      <c r="O83">
        <v>2282840</v>
      </c>
      <c r="P83">
        <v>2176445</v>
      </c>
      <c r="Q83">
        <v>2254000</v>
      </c>
      <c r="R83">
        <v>2097828</v>
      </c>
      <c r="S83">
        <v>2305205</v>
      </c>
    </row>
    <row r="84" spans="7:19" x14ac:dyDescent="0.2">
      <c r="G84" t="s">
        <v>111</v>
      </c>
      <c r="H84">
        <v>1838995</v>
      </c>
      <c r="I84">
        <v>1668515</v>
      </c>
      <c r="J84">
        <v>1832342</v>
      </c>
      <c r="K84">
        <v>1677858</v>
      </c>
      <c r="L84">
        <v>2032825</v>
      </c>
      <c r="M84">
        <v>1627411</v>
      </c>
      <c r="N84">
        <v>1709100</v>
      </c>
      <c r="O84">
        <v>1923425</v>
      </c>
      <c r="P84">
        <v>1707300</v>
      </c>
      <c r="Q84">
        <v>1812597</v>
      </c>
      <c r="R84">
        <v>1709100</v>
      </c>
      <c r="S84">
        <v>1823040</v>
      </c>
    </row>
    <row r="85" spans="7:19" x14ac:dyDescent="0.2">
      <c r="G85" t="s">
        <v>112</v>
      </c>
      <c r="H85">
        <v>1612080</v>
      </c>
      <c r="I85">
        <v>1567440</v>
      </c>
      <c r="J85">
        <v>1611900</v>
      </c>
      <c r="K85">
        <v>1634400</v>
      </c>
      <c r="L85">
        <v>1612080</v>
      </c>
      <c r="M85">
        <v>1620360</v>
      </c>
      <c r="N85">
        <v>1612080</v>
      </c>
      <c r="O85">
        <v>1612080</v>
      </c>
      <c r="P85">
        <v>1612080</v>
      </c>
      <c r="Q85">
        <v>1612080</v>
      </c>
      <c r="R85">
        <v>1612080</v>
      </c>
      <c r="S85">
        <v>1612080</v>
      </c>
    </row>
    <row r="86" spans="7:19" x14ac:dyDescent="0.2">
      <c r="G86" t="s">
        <v>113</v>
      </c>
      <c r="H86">
        <v>1941508</v>
      </c>
      <c r="I86">
        <v>1583443</v>
      </c>
      <c r="J86">
        <v>1779400</v>
      </c>
      <c r="K86">
        <v>1701657</v>
      </c>
      <c r="L86">
        <v>1806239</v>
      </c>
      <c r="M86">
        <v>1798282</v>
      </c>
      <c r="N86">
        <v>1698564</v>
      </c>
      <c r="O86">
        <v>1943400</v>
      </c>
      <c r="P86">
        <v>1667540</v>
      </c>
      <c r="Q86">
        <v>1613456</v>
      </c>
      <c r="R86">
        <v>1667755</v>
      </c>
      <c r="S86">
        <v>2024577</v>
      </c>
    </row>
    <row r="87" spans="7:19" x14ac:dyDescent="0.2">
      <c r="G87" t="s">
        <v>114</v>
      </c>
      <c r="H87">
        <v>2030190</v>
      </c>
      <c r="I87">
        <v>1822986</v>
      </c>
      <c r="J87">
        <v>2020200</v>
      </c>
      <c r="K87">
        <v>1876042</v>
      </c>
      <c r="L87">
        <v>2094610</v>
      </c>
      <c r="M87">
        <v>1904199</v>
      </c>
      <c r="N87">
        <v>1885598</v>
      </c>
      <c r="O87">
        <v>2125200</v>
      </c>
      <c r="P87">
        <v>1856472</v>
      </c>
      <c r="Q87">
        <v>1906170</v>
      </c>
      <c r="R87">
        <v>1931532</v>
      </c>
      <c r="S87">
        <v>2033421</v>
      </c>
    </row>
    <row r="88" spans="7:19" x14ac:dyDescent="0.2">
      <c r="G88" t="s">
        <v>115</v>
      </c>
      <c r="H88">
        <v>3742132</v>
      </c>
      <c r="I88">
        <v>3693690</v>
      </c>
      <c r="J88">
        <v>3760393</v>
      </c>
      <c r="K88">
        <v>3666780</v>
      </c>
      <c r="L88">
        <v>3836016</v>
      </c>
      <c r="M88">
        <v>3696278</v>
      </c>
      <c r="N88">
        <v>3774050</v>
      </c>
      <c r="O88">
        <v>3824575</v>
      </c>
      <c r="P88">
        <v>3600000</v>
      </c>
      <c r="Q88">
        <v>3660210</v>
      </c>
      <c r="R88">
        <v>3596000</v>
      </c>
      <c r="S88">
        <v>3936410</v>
      </c>
    </row>
    <row r="89" spans="7:19" x14ac:dyDescent="0.2">
      <c r="G89" t="s">
        <v>116</v>
      </c>
      <c r="H89">
        <v>1117800</v>
      </c>
      <c r="I89">
        <v>1050450</v>
      </c>
      <c r="J89">
        <v>1102896</v>
      </c>
      <c r="K89">
        <v>1035828</v>
      </c>
      <c r="L89">
        <v>1125248</v>
      </c>
      <c r="M89">
        <v>1110348</v>
      </c>
      <c r="N89">
        <v>1110348</v>
      </c>
      <c r="O89">
        <v>1155060</v>
      </c>
      <c r="P89">
        <v>1006020</v>
      </c>
      <c r="Q89">
        <v>1013472</v>
      </c>
      <c r="R89">
        <v>1102304</v>
      </c>
      <c r="S89">
        <v>1152909</v>
      </c>
    </row>
    <row r="90" spans="7:19" x14ac:dyDescent="0.2">
      <c r="G90" t="s">
        <v>117</v>
      </c>
      <c r="H90">
        <v>1119300</v>
      </c>
      <c r="I90">
        <v>1119000</v>
      </c>
      <c r="J90">
        <v>1223440</v>
      </c>
      <c r="K90">
        <v>1134000</v>
      </c>
      <c r="L90">
        <v>1186140</v>
      </c>
      <c r="M90">
        <v>1119000</v>
      </c>
      <c r="N90">
        <v>1230900</v>
      </c>
      <c r="O90">
        <v>1167450</v>
      </c>
      <c r="P90">
        <v>1134000</v>
      </c>
      <c r="Q90">
        <v>1134000</v>
      </c>
      <c r="R90">
        <v>1134000</v>
      </c>
      <c r="S90">
        <v>1230150</v>
      </c>
    </row>
    <row r="91" spans="7:19" x14ac:dyDescent="0.2">
      <c r="G91" t="s">
        <v>118</v>
      </c>
      <c r="H91">
        <v>5458992</v>
      </c>
      <c r="I91">
        <v>5388096</v>
      </c>
      <c r="J91">
        <v>5428608</v>
      </c>
      <c r="K91">
        <v>4618368</v>
      </c>
      <c r="L91">
        <v>4577856</v>
      </c>
      <c r="M91">
        <v>4061328</v>
      </c>
      <c r="N91">
        <v>4628496</v>
      </c>
      <c r="O91">
        <v>4861440</v>
      </c>
      <c r="P91">
        <v>4436064</v>
      </c>
      <c r="Q91">
        <v>5357712</v>
      </c>
      <c r="R91">
        <v>5074128</v>
      </c>
      <c r="S91">
        <v>6157824</v>
      </c>
    </row>
    <row r="92" spans="7:19" x14ac:dyDescent="0.2">
      <c r="G92" t="s">
        <v>119</v>
      </c>
      <c r="H92">
        <v>2281284</v>
      </c>
      <c r="I92">
        <v>2065360</v>
      </c>
      <c r="J92">
        <v>2065360</v>
      </c>
      <c r="K92">
        <v>2065360</v>
      </c>
      <c r="L92">
        <v>2065360</v>
      </c>
      <c r="M92">
        <v>2065360</v>
      </c>
      <c r="N92">
        <v>2065360</v>
      </c>
      <c r="O92">
        <v>2065360</v>
      </c>
      <c r="P92">
        <v>2065360</v>
      </c>
      <c r="Q92">
        <v>2065360</v>
      </c>
      <c r="R92">
        <v>2065360</v>
      </c>
      <c r="S92">
        <v>2065360</v>
      </c>
    </row>
    <row r="93" spans="7:19" x14ac:dyDescent="0.2">
      <c r="G93" t="s">
        <v>120</v>
      </c>
      <c r="H93">
        <v>1009200</v>
      </c>
      <c r="I93">
        <v>1096200</v>
      </c>
      <c r="J93">
        <v>1104900</v>
      </c>
      <c r="K93">
        <v>1087500</v>
      </c>
      <c r="L93">
        <v>974400</v>
      </c>
      <c r="M93">
        <v>913500</v>
      </c>
      <c r="N93">
        <v>1009200</v>
      </c>
      <c r="O93">
        <v>1078800</v>
      </c>
      <c r="P93">
        <v>1078800</v>
      </c>
      <c r="Q93">
        <v>1191900</v>
      </c>
      <c r="R93">
        <v>1122300</v>
      </c>
      <c r="S93">
        <v>1313700</v>
      </c>
    </row>
    <row r="94" spans="7:19" x14ac:dyDescent="0.2">
      <c r="G94" t="s">
        <v>121</v>
      </c>
      <c r="H94">
        <v>1498602</v>
      </c>
      <c r="I94">
        <v>1530830</v>
      </c>
      <c r="J94">
        <v>1297177</v>
      </c>
      <c r="K94">
        <v>1168265</v>
      </c>
      <c r="L94">
        <v>1200493</v>
      </c>
      <c r="M94">
        <v>1256892</v>
      </c>
      <c r="N94">
        <v>1321348</v>
      </c>
      <c r="O94">
        <v>1305234</v>
      </c>
      <c r="P94">
        <v>1442203</v>
      </c>
      <c r="Q94">
        <v>1716141</v>
      </c>
      <c r="R94">
        <v>1377747</v>
      </c>
      <c r="S94">
        <v>1667799</v>
      </c>
    </row>
    <row r="95" spans="7:19" x14ac:dyDescent="0.2">
      <c r="G95" t="s">
        <v>122</v>
      </c>
      <c r="H95">
        <v>1072904</v>
      </c>
      <c r="I95">
        <v>1025570</v>
      </c>
      <c r="J95">
        <v>1025570</v>
      </c>
      <c r="K95">
        <v>1025570</v>
      </c>
      <c r="L95">
        <v>1025570</v>
      </c>
      <c r="M95">
        <v>1025570</v>
      </c>
      <c r="N95">
        <v>1025570</v>
      </c>
      <c r="O95">
        <v>1025570</v>
      </c>
      <c r="P95">
        <v>1049237</v>
      </c>
      <c r="Q95">
        <v>1025570</v>
      </c>
      <c r="R95">
        <v>1191239</v>
      </c>
      <c r="S95">
        <v>1301685</v>
      </c>
    </row>
    <row r="96" spans="7:19" x14ac:dyDescent="0.2">
      <c r="G96" t="s">
        <v>123</v>
      </c>
      <c r="H96">
        <v>1269318</v>
      </c>
      <c r="I96">
        <v>1419069</v>
      </c>
      <c r="J96">
        <v>1376283</v>
      </c>
      <c r="K96">
        <v>1426200</v>
      </c>
      <c r="L96">
        <v>1369152</v>
      </c>
      <c r="M96">
        <v>1190877</v>
      </c>
      <c r="N96">
        <v>1312104</v>
      </c>
      <c r="O96">
        <v>1362021</v>
      </c>
      <c r="P96">
        <v>1440462</v>
      </c>
      <c r="Q96">
        <v>1319235</v>
      </c>
      <c r="R96">
        <v>1190877</v>
      </c>
      <c r="S96">
        <v>1533165</v>
      </c>
    </row>
    <row r="97" spans="7:19" x14ac:dyDescent="0.2">
      <c r="G97" t="s">
        <v>124</v>
      </c>
      <c r="H97">
        <v>1555840</v>
      </c>
      <c r="I97">
        <v>1555840</v>
      </c>
      <c r="J97">
        <v>1555840</v>
      </c>
      <c r="K97">
        <v>1555840</v>
      </c>
      <c r="L97">
        <v>1555840</v>
      </c>
      <c r="M97">
        <v>1555840</v>
      </c>
      <c r="N97">
        <v>1555840</v>
      </c>
      <c r="O97">
        <v>1555840</v>
      </c>
      <c r="P97">
        <v>1555840</v>
      </c>
      <c r="Q97">
        <v>1555840</v>
      </c>
      <c r="R97">
        <v>1555840</v>
      </c>
      <c r="S97">
        <v>1612416</v>
      </c>
    </row>
    <row r="98" spans="7:19" x14ac:dyDescent="0.2">
      <c r="G98" t="s">
        <v>125</v>
      </c>
      <c r="H98">
        <v>1317330</v>
      </c>
      <c r="I98">
        <v>1317330</v>
      </c>
      <c r="J98">
        <v>1317330</v>
      </c>
      <c r="K98">
        <v>1317330</v>
      </c>
      <c r="L98">
        <v>1317330</v>
      </c>
      <c r="M98">
        <v>1317330</v>
      </c>
      <c r="N98">
        <v>1317330</v>
      </c>
      <c r="O98">
        <v>1317330</v>
      </c>
      <c r="P98">
        <v>1317330</v>
      </c>
      <c r="Q98">
        <v>1317330</v>
      </c>
      <c r="R98">
        <v>1317330</v>
      </c>
      <c r="S98">
        <v>1317330</v>
      </c>
    </row>
    <row r="99" spans="7:19" x14ac:dyDescent="0.2">
      <c r="G99" t="s">
        <v>126</v>
      </c>
      <c r="H99">
        <v>1267920</v>
      </c>
      <c r="I99">
        <v>1267920</v>
      </c>
      <c r="J99">
        <v>1267920</v>
      </c>
      <c r="K99">
        <v>1267920</v>
      </c>
      <c r="L99">
        <v>1267920</v>
      </c>
      <c r="M99">
        <v>1267920</v>
      </c>
      <c r="N99">
        <v>1267920</v>
      </c>
      <c r="O99">
        <v>1267920</v>
      </c>
      <c r="P99">
        <v>1267920</v>
      </c>
      <c r="Q99">
        <v>1267920</v>
      </c>
      <c r="R99">
        <v>1267920</v>
      </c>
      <c r="S99">
        <v>1267920</v>
      </c>
    </row>
    <row r="100" spans="7:19" x14ac:dyDescent="0.2">
      <c r="L100">
        <f>SUM(L23:L99)</f>
        <v>154290053</v>
      </c>
    </row>
  </sheetData>
  <mergeCells count="132">
    <mergeCell ref="AC2:AF4"/>
    <mergeCell ref="A5:A20"/>
    <mergeCell ref="B5:B8"/>
    <mergeCell ref="C5:E8"/>
    <mergeCell ref="F5:G8"/>
    <mergeCell ref="H5:I8"/>
    <mergeCell ref="J5:J6"/>
    <mergeCell ref="K5:K6"/>
    <mergeCell ref="C2:E4"/>
    <mergeCell ref="F2:G4"/>
    <mergeCell ref="H2:I4"/>
    <mergeCell ref="J2:T4"/>
    <mergeCell ref="U2:V4"/>
    <mergeCell ref="W2:X4"/>
    <mergeCell ref="T7:T8"/>
    <mergeCell ref="L5:L6"/>
    <mergeCell ref="M5:M6"/>
    <mergeCell ref="N5:N6"/>
    <mergeCell ref="O5:O6"/>
    <mergeCell ref="P5:P6"/>
    <mergeCell ref="Q5:Q6"/>
    <mergeCell ref="Y2:Z4"/>
    <mergeCell ref="AA2:AB4"/>
    <mergeCell ref="B9:B12"/>
    <mergeCell ref="C9:E12"/>
    <mergeCell ref="F9:G12"/>
    <mergeCell ref="H9:I12"/>
    <mergeCell ref="J9:J10"/>
    <mergeCell ref="K9:K10"/>
    <mergeCell ref="AA5:AB20"/>
    <mergeCell ref="AC5:AF8"/>
    <mergeCell ref="J7:J8"/>
    <mergeCell ref="K7:K8"/>
    <mergeCell ref="L7:L8"/>
    <mergeCell ref="M7:M8"/>
    <mergeCell ref="N7:N8"/>
    <mergeCell ref="O7:O8"/>
    <mergeCell ref="P7:P8"/>
    <mergeCell ref="Q7:Q8"/>
    <mergeCell ref="R5:R6"/>
    <mergeCell ref="S5:S6"/>
    <mergeCell ref="T5:T6"/>
    <mergeCell ref="U5:V8"/>
    <mergeCell ref="W5:X8"/>
    <mergeCell ref="Y5:Z8"/>
    <mergeCell ref="R7:R8"/>
    <mergeCell ref="S7:S8"/>
    <mergeCell ref="AC9:AF12"/>
    <mergeCell ref="J11:J12"/>
    <mergeCell ref="K11:K12"/>
    <mergeCell ref="L11:L12"/>
    <mergeCell ref="M11:M12"/>
    <mergeCell ref="N11:N12"/>
    <mergeCell ref="O11:O12"/>
    <mergeCell ref="P11:P12"/>
    <mergeCell ref="Q11:Q12"/>
    <mergeCell ref="R11:R12"/>
    <mergeCell ref="R9:R10"/>
    <mergeCell ref="S9:S10"/>
    <mergeCell ref="T9:T10"/>
    <mergeCell ref="U9:V12"/>
    <mergeCell ref="W9:X12"/>
    <mergeCell ref="Y9:Z12"/>
    <mergeCell ref="S11:S12"/>
    <mergeCell ref="T11:T12"/>
    <mergeCell ref="L9:L10"/>
    <mergeCell ref="M9:M10"/>
    <mergeCell ref="N9:N10"/>
    <mergeCell ref="O9:O10"/>
    <mergeCell ref="P9:P10"/>
    <mergeCell ref="Q9:Q10"/>
    <mergeCell ref="T15:T16"/>
    <mergeCell ref="L13:L14"/>
    <mergeCell ref="M13:M14"/>
    <mergeCell ref="N13:N14"/>
    <mergeCell ref="O13:O14"/>
    <mergeCell ref="P13:P14"/>
    <mergeCell ref="Q13:Q14"/>
    <mergeCell ref="B13:B16"/>
    <mergeCell ref="C13:E16"/>
    <mergeCell ref="F13:G16"/>
    <mergeCell ref="H13:I16"/>
    <mergeCell ref="J13:J14"/>
    <mergeCell ref="K13:K14"/>
    <mergeCell ref="Q17:Q18"/>
    <mergeCell ref="B17:B20"/>
    <mergeCell ref="C17:E20"/>
    <mergeCell ref="F17:G20"/>
    <mergeCell ref="H17:I20"/>
    <mergeCell ref="J17:J18"/>
    <mergeCell ref="K17:K18"/>
    <mergeCell ref="AC13:AF16"/>
    <mergeCell ref="J15:J16"/>
    <mergeCell ref="K15:K16"/>
    <mergeCell ref="L15:L16"/>
    <mergeCell ref="M15:M16"/>
    <mergeCell ref="N15:N16"/>
    <mergeCell ref="O15:O16"/>
    <mergeCell ref="P15:P16"/>
    <mergeCell ref="Q15:Q16"/>
    <mergeCell ref="R15:R16"/>
    <mergeCell ref="R13:R14"/>
    <mergeCell ref="S13:S14"/>
    <mergeCell ref="T13:T14"/>
    <mergeCell ref="U13:V16"/>
    <mergeCell ref="W13:X16"/>
    <mergeCell ref="Y13:Z16"/>
    <mergeCell ref="S15:S16"/>
    <mergeCell ref="A2:B2"/>
    <mergeCell ref="AC17:AF20"/>
    <mergeCell ref="J19:J20"/>
    <mergeCell ref="K19:K20"/>
    <mergeCell ref="L19:L20"/>
    <mergeCell ref="M19:M20"/>
    <mergeCell ref="N19:N20"/>
    <mergeCell ref="O19:O20"/>
    <mergeCell ref="P19:P20"/>
    <mergeCell ref="Q19:Q20"/>
    <mergeCell ref="R19:R20"/>
    <mergeCell ref="R17:R18"/>
    <mergeCell ref="S17:S18"/>
    <mergeCell ref="T17:T18"/>
    <mergeCell ref="U17:V20"/>
    <mergeCell ref="W17:X20"/>
    <mergeCell ref="Y17:Z20"/>
    <mergeCell ref="S19:S20"/>
    <mergeCell ref="T19:T20"/>
    <mergeCell ref="L17:L18"/>
    <mergeCell ref="M17:M18"/>
    <mergeCell ref="N17:N18"/>
    <mergeCell ref="O17:O18"/>
    <mergeCell ref="P17:P18"/>
  </mergeCells>
  <phoneticPr fontId="22"/>
  <conditionalFormatting sqref="W5:W6">
    <cfRule type="cellIs" dxfId="2" priority="1" stopIfTrue="1" operator="equal">
      <formula>0</formula>
    </cfRule>
  </conditionalFormatting>
  <pageMargins left="0.74803149606299213" right="0.74803149606299213" top="1.7716535433070868" bottom="0.98425196850393704" header="0.51181102362204722" footer="0.51181102362204722"/>
  <pageSetup paperSize="9" scale="45" orientation="landscape"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3442-52AE-4E81-804A-351E6110A35E}">
  <dimension ref="A1:AS99"/>
  <sheetViews>
    <sheetView view="pageBreakPreview" zoomScale="130" zoomScaleNormal="120" zoomScaleSheetLayoutView="130" workbookViewId="0">
      <selection activeCell="J17" sqref="J17:T20"/>
    </sheetView>
  </sheetViews>
  <sheetFormatPr defaultColWidth="9" defaultRowHeight="13" x14ac:dyDescent="0.2"/>
  <sheetData>
    <row r="1" spans="1:45" ht="13.5" thickBot="1" x14ac:dyDescent="0.25"/>
    <row r="2" spans="1:45" s="1" customFormat="1" ht="22.15" customHeight="1" x14ac:dyDescent="0.2">
      <c r="A2" s="172" t="s">
        <v>157</v>
      </c>
      <c r="B2" s="186"/>
      <c r="C2" s="336" t="s">
        <v>0</v>
      </c>
      <c r="D2" s="337"/>
      <c r="E2" s="338"/>
      <c r="F2" s="102" t="s">
        <v>1</v>
      </c>
      <c r="G2" s="345"/>
      <c r="H2" s="348" t="s">
        <v>2</v>
      </c>
      <c r="I2" s="102"/>
      <c r="J2" s="351" t="s">
        <v>3</v>
      </c>
      <c r="K2" s="352"/>
      <c r="L2" s="352"/>
      <c r="M2" s="352"/>
      <c r="N2" s="352"/>
      <c r="O2" s="352"/>
      <c r="P2" s="352"/>
      <c r="Q2" s="352"/>
      <c r="R2" s="352"/>
      <c r="S2" s="352"/>
      <c r="T2" s="353"/>
      <c r="U2" s="110" t="s">
        <v>4</v>
      </c>
      <c r="V2" s="111"/>
      <c r="W2" s="114" t="s">
        <v>5</v>
      </c>
      <c r="X2" s="114"/>
      <c r="Y2" s="95" t="s">
        <v>6</v>
      </c>
      <c r="Z2" s="95"/>
      <c r="AA2" s="95" t="s">
        <v>7</v>
      </c>
      <c r="AB2" s="98"/>
      <c r="AC2" s="101" t="s">
        <v>8</v>
      </c>
      <c r="AD2" s="102"/>
      <c r="AE2" s="102"/>
      <c r="AF2" s="103"/>
    </row>
    <row r="3" spans="1:45" s="1" customFormat="1" ht="22.15" customHeight="1" x14ac:dyDescent="0.2">
      <c r="C3" s="339"/>
      <c r="D3" s="340"/>
      <c r="E3" s="341"/>
      <c r="F3" s="340"/>
      <c r="G3" s="346"/>
      <c r="H3" s="349"/>
      <c r="I3" s="105"/>
      <c r="J3" s="354"/>
      <c r="K3" s="355"/>
      <c r="L3" s="355"/>
      <c r="M3" s="355"/>
      <c r="N3" s="355"/>
      <c r="O3" s="355"/>
      <c r="P3" s="355"/>
      <c r="Q3" s="355"/>
      <c r="R3" s="355"/>
      <c r="S3" s="355"/>
      <c r="T3" s="356"/>
      <c r="U3" s="112"/>
      <c r="V3" s="112"/>
      <c r="W3" s="115"/>
      <c r="X3" s="115"/>
      <c r="Y3" s="96"/>
      <c r="Z3" s="96"/>
      <c r="AA3" s="99"/>
      <c r="AB3" s="99"/>
      <c r="AC3" s="104"/>
      <c r="AD3" s="105"/>
      <c r="AE3" s="105"/>
      <c r="AF3" s="106"/>
    </row>
    <row r="4" spans="1:45" s="1" customFormat="1" ht="22.15" customHeight="1" thickBot="1" x14ac:dyDescent="0.25">
      <c r="A4" s="3"/>
      <c r="B4" s="3"/>
      <c r="C4" s="342"/>
      <c r="D4" s="343"/>
      <c r="E4" s="344"/>
      <c r="F4" s="343"/>
      <c r="G4" s="347"/>
      <c r="H4" s="350"/>
      <c r="I4" s="108"/>
      <c r="J4" s="357"/>
      <c r="K4" s="358"/>
      <c r="L4" s="358"/>
      <c r="M4" s="358"/>
      <c r="N4" s="358"/>
      <c r="O4" s="358"/>
      <c r="P4" s="358"/>
      <c r="Q4" s="358"/>
      <c r="R4" s="358"/>
      <c r="S4" s="358"/>
      <c r="T4" s="359"/>
      <c r="U4" s="113"/>
      <c r="V4" s="113"/>
      <c r="W4" s="116"/>
      <c r="X4" s="116"/>
      <c r="Y4" s="97"/>
      <c r="Z4" s="97"/>
      <c r="AA4" s="100"/>
      <c r="AB4" s="100"/>
      <c r="AC4" s="107"/>
      <c r="AD4" s="108"/>
      <c r="AE4" s="108"/>
      <c r="AF4" s="109"/>
    </row>
    <row r="5" spans="1:45" s="2" customFormat="1" ht="22.15" customHeight="1" x14ac:dyDescent="0.2">
      <c r="A5" s="331" t="s">
        <v>9</v>
      </c>
      <c r="B5" s="334" t="s">
        <v>10</v>
      </c>
      <c r="C5" s="317" t="s">
        <v>44</v>
      </c>
      <c r="D5" s="318"/>
      <c r="E5" s="319"/>
      <c r="F5" s="320" t="s">
        <v>43</v>
      </c>
      <c r="G5" s="321"/>
      <c r="H5" s="326" t="s">
        <v>158</v>
      </c>
      <c r="I5" s="327"/>
      <c r="J5" s="335">
        <v>0</v>
      </c>
      <c r="K5" s="315">
        <v>10</v>
      </c>
      <c r="L5" s="315">
        <v>20</v>
      </c>
      <c r="M5" s="315">
        <v>30</v>
      </c>
      <c r="N5" s="315">
        <v>40</v>
      </c>
      <c r="O5" s="315">
        <v>50</v>
      </c>
      <c r="P5" s="316">
        <v>60</v>
      </c>
      <c r="Q5" s="315">
        <v>70</v>
      </c>
      <c r="R5" s="315">
        <v>80</v>
      </c>
      <c r="S5" s="315">
        <v>90</v>
      </c>
      <c r="T5" s="329">
        <v>100</v>
      </c>
      <c r="U5" s="243"/>
      <c r="V5" s="244"/>
      <c r="W5" s="245">
        <v>0.2</v>
      </c>
      <c r="X5" s="246"/>
      <c r="Y5" s="247">
        <f>U5*W5</f>
        <v>0</v>
      </c>
      <c r="Z5" s="247"/>
      <c r="AA5" s="237">
        <f>SUM(Y5:Z20)</f>
        <v>0</v>
      </c>
      <c r="AB5" s="238"/>
      <c r="AC5" s="174"/>
      <c r="AD5" s="175"/>
      <c r="AE5" s="175"/>
      <c r="AF5" s="176"/>
    </row>
    <row r="6" spans="1:45" s="2" customFormat="1" ht="22.15" customHeight="1" x14ac:dyDescent="0.2">
      <c r="A6" s="332"/>
      <c r="B6" s="39"/>
      <c r="C6" s="287"/>
      <c r="D6" s="288"/>
      <c r="E6" s="289"/>
      <c r="F6" s="322"/>
      <c r="G6" s="323"/>
      <c r="H6" s="299"/>
      <c r="I6" s="298"/>
      <c r="J6" s="302"/>
      <c r="K6" s="274"/>
      <c r="L6" s="274"/>
      <c r="M6" s="274"/>
      <c r="N6" s="274"/>
      <c r="O6" s="274"/>
      <c r="P6" s="280"/>
      <c r="Q6" s="274"/>
      <c r="R6" s="275"/>
      <c r="S6" s="275"/>
      <c r="T6" s="276"/>
      <c r="U6" s="185"/>
      <c r="V6" s="186"/>
      <c r="W6" s="191"/>
      <c r="X6" s="192"/>
      <c r="Y6" s="195"/>
      <c r="Z6" s="195"/>
      <c r="AA6" s="239"/>
      <c r="AB6" s="240"/>
      <c r="AC6" s="177"/>
      <c r="AD6" s="178"/>
      <c r="AE6" s="178"/>
      <c r="AF6" s="179"/>
    </row>
    <row r="7" spans="1:45" s="2" customFormat="1" ht="22.15" customHeight="1" x14ac:dyDescent="0.2">
      <c r="A7" s="332"/>
      <c r="B7" s="39"/>
      <c r="C7" s="287"/>
      <c r="D7" s="288"/>
      <c r="E7" s="289"/>
      <c r="F7" s="322"/>
      <c r="G7" s="323"/>
      <c r="H7" s="299"/>
      <c r="I7" s="298"/>
      <c r="J7" s="266" t="s">
        <v>11</v>
      </c>
      <c r="K7" s="268">
        <v>75</v>
      </c>
      <c r="L7" s="268">
        <v>80</v>
      </c>
      <c r="M7" s="268">
        <v>85</v>
      </c>
      <c r="N7" s="268">
        <v>90</v>
      </c>
      <c r="O7" s="268">
        <v>95</v>
      </c>
      <c r="P7" s="272">
        <v>1</v>
      </c>
      <c r="Q7" s="268">
        <v>105</v>
      </c>
      <c r="R7" s="268">
        <v>110</v>
      </c>
      <c r="S7" s="268">
        <v>115</v>
      </c>
      <c r="T7" s="277" t="s">
        <v>12</v>
      </c>
      <c r="U7" s="185"/>
      <c r="V7" s="186"/>
      <c r="W7" s="191"/>
      <c r="X7" s="192"/>
      <c r="Y7" s="195"/>
      <c r="Z7" s="195"/>
      <c r="AA7" s="239"/>
      <c r="AB7" s="240"/>
      <c r="AC7" s="177"/>
      <c r="AD7" s="178"/>
      <c r="AE7" s="178"/>
      <c r="AF7" s="179"/>
    </row>
    <row r="8" spans="1:45" s="2" customFormat="1" ht="22.15" customHeight="1" thickBot="1" x14ac:dyDescent="0.25">
      <c r="A8" s="332"/>
      <c r="B8" s="40"/>
      <c r="C8" s="306"/>
      <c r="D8" s="307"/>
      <c r="E8" s="308"/>
      <c r="F8" s="324"/>
      <c r="G8" s="325"/>
      <c r="H8" s="299"/>
      <c r="I8" s="298"/>
      <c r="J8" s="360"/>
      <c r="K8" s="328"/>
      <c r="L8" s="328"/>
      <c r="M8" s="328"/>
      <c r="N8" s="328"/>
      <c r="O8" s="328"/>
      <c r="P8" s="361"/>
      <c r="Q8" s="328"/>
      <c r="R8" s="328"/>
      <c r="S8" s="328"/>
      <c r="T8" s="330"/>
      <c r="U8" s="213"/>
      <c r="V8" s="214"/>
      <c r="W8" s="215"/>
      <c r="X8" s="216"/>
      <c r="Y8" s="217"/>
      <c r="Z8" s="217"/>
      <c r="AA8" s="239"/>
      <c r="AB8" s="240"/>
      <c r="AC8" s="177"/>
      <c r="AD8" s="178"/>
      <c r="AE8" s="178"/>
      <c r="AF8" s="179"/>
    </row>
    <row r="9" spans="1:45" s="2" customFormat="1" ht="22.15" customHeight="1" x14ac:dyDescent="0.2">
      <c r="A9" s="332"/>
      <c r="B9" s="38" t="s">
        <v>13</v>
      </c>
      <c r="C9" s="317" t="s">
        <v>45</v>
      </c>
      <c r="D9" s="318"/>
      <c r="E9" s="319"/>
      <c r="F9" s="320" t="s">
        <v>46</v>
      </c>
      <c r="G9" s="321"/>
      <c r="H9" s="326" t="s">
        <v>158</v>
      </c>
      <c r="I9" s="327"/>
      <c r="J9" s="224">
        <v>0</v>
      </c>
      <c r="K9" s="274">
        <v>10</v>
      </c>
      <c r="L9" s="274">
        <v>20</v>
      </c>
      <c r="M9" s="274">
        <v>30</v>
      </c>
      <c r="N9" s="274">
        <v>40</v>
      </c>
      <c r="O9" s="274">
        <v>50</v>
      </c>
      <c r="P9" s="280">
        <v>60</v>
      </c>
      <c r="Q9" s="274">
        <v>70</v>
      </c>
      <c r="R9" s="304">
        <v>80</v>
      </c>
      <c r="S9" s="304">
        <v>90</v>
      </c>
      <c r="T9" s="276">
        <v>100</v>
      </c>
      <c r="U9" s="183"/>
      <c r="V9" s="184"/>
      <c r="W9" s="189">
        <v>0.4</v>
      </c>
      <c r="X9" s="190"/>
      <c r="Y9" s="225">
        <f>U9*W9</f>
        <v>0</v>
      </c>
      <c r="Z9" s="226"/>
      <c r="AA9" s="239"/>
      <c r="AB9" s="240"/>
      <c r="AC9" s="35"/>
      <c r="AD9" s="36"/>
      <c r="AE9" s="36"/>
      <c r="AF9" s="37"/>
    </row>
    <row r="10" spans="1:45" s="2" customFormat="1" ht="22.15" customHeight="1" x14ac:dyDescent="0.2">
      <c r="A10" s="332"/>
      <c r="B10" s="39"/>
      <c r="C10" s="287"/>
      <c r="D10" s="288"/>
      <c r="E10" s="289"/>
      <c r="F10" s="322"/>
      <c r="G10" s="323"/>
      <c r="H10" s="299"/>
      <c r="I10" s="298"/>
      <c r="J10" s="302"/>
      <c r="K10" s="274"/>
      <c r="L10" s="274"/>
      <c r="M10" s="274"/>
      <c r="N10" s="274"/>
      <c r="O10" s="274"/>
      <c r="P10" s="280"/>
      <c r="Q10" s="274"/>
      <c r="R10" s="274"/>
      <c r="S10" s="274"/>
      <c r="T10" s="305"/>
      <c r="U10" s="185"/>
      <c r="V10" s="186"/>
      <c r="W10" s="191"/>
      <c r="X10" s="192"/>
      <c r="Y10" s="227"/>
      <c r="Z10" s="228"/>
      <c r="AA10" s="239"/>
      <c r="AB10" s="240"/>
      <c r="AC10" s="35"/>
      <c r="AD10" s="36"/>
      <c r="AE10" s="36"/>
      <c r="AF10" s="37"/>
    </row>
    <row r="11" spans="1:45" s="2" customFormat="1" ht="22.15" customHeight="1" x14ac:dyDescent="0.2">
      <c r="A11" s="332"/>
      <c r="B11" s="39"/>
      <c r="C11" s="287"/>
      <c r="D11" s="288"/>
      <c r="E11" s="289"/>
      <c r="F11" s="322"/>
      <c r="G11" s="323"/>
      <c r="H11" s="299"/>
      <c r="I11" s="298"/>
      <c r="J11" s="303" t="s">
        <v>11</v>
      </c>
      <c r="K11" s="92">
        <v>75</v>
      </c>
      <c r="L11" s="92">
        <v>80</v>
      </c>
      <c r="M11" s="92">
        <v>85</v>
      </c>
      <c r="N11" s="92">
        <v>90</v>
      </c>
      <c r="O11" s="92">
        <v>95</v>
      </c>
      <c r="P11" s="94">
        <v>1</v>
      </c>
      <c r="Q11" s="92">
        <v>105</v>
      </c>
      <c r="R11" s="92">
        <v>110</v>
      </c>
      <c r="S11" s="92">
        <v>115</v>
      </c>
      <c r="T11" s="93" t="s">
        <v>12</v>
      </c>
      <c r="U11" s="172"/>
      <c r="V11" s="186"/>
      <c r="W11" s="191"/>
      <c r="X11" s="192"/>
      <c r="Y11" s="227"/>
      <c r="Z11" s="228"/>
      <c r="AA11" s="239"/>
      <c r="AB11" s="240"/>
      <c r="AC11" s="35"/>
      <c r="AD11" s="36"/>
      <c r="AE11" s="36"/>
      <c r="AF11" s="37"/>
    </row>
    <row r="12" spans="1:45" s="2" customFormat="1" ht="22.15" customHeight="1" thickBot="1" x14ac:dyDescent="0.25">
      <c r="A12" s="332"/>
      <c r="B12" s="40"/>
      <c r="C12" s="306"/>
      <c r="D12" s="307"/>
      <c r="E12" s="308"/>
      <c r="F12" s="324"/>
      <c r="G12" s="325"/>
      <c r="H12" s="299"/>
      <c r="I12" s="298"/>
      <c r="J12" s="82"/>
      <c r="K12" s="40"/>
      <c r="L12" s="40"/>
      <c r="M12" s="40"/>
      <c r="N12" s="39"/>
      <c r="O12" s="40"/>
      <c r="P12" s="40"/>
      <c r="Q12" s="40"/>
      <c r="R12" s="40"/>
      <c r="S12" s="40"/>
      <c r="T12" s="73"/>
      <c r="U12" s="224"/>
      <c r="V12" s="214"/>
      <c r="W12" s="215"/>
      <c r="X12" s="216"/>
      <c r="Y12" s="229"/>
      <c r="Z12" s="230"/>
      <c r="AA12" s="239"/>
      <c r="AB12" s="240"/>
      <c r="AC12" s="35"/>
      <c r="AD12" s="36"/>
      <c r="AE12" s="36"/>
      <c r="AF12" s="37"/>
    </row>
    <row r="13" spans="1:45" s="2" customFormat="1" ht="22.15" customHeight="1" x14ac:dyDescent="0.2">
      <c r="A13" s="332"/>
      <c r="B13" s="38" t="s">
        <v>48</v>
      </c>
      <c r="C13" s="284" t="s">
        <v>47</v>
      </c>
      <c r="D13" s="285"/>
      <c r="E13" s="286"/>
      <c r="F13" s="309" t="s">
        <v>49</v>
      </c>
      <c r="G13" s="310"/>
      <c r="H13" s="297" t="s">
        <v>158</v>
      </c>
      <c r="I13" s="298"/>
      <c r="J13" s="224">
        <v>0</v>
      </c>
      <c r="K13" s="274">
        <v>10</v>
      </c>
      <c r="L13" s="274">
        <v>20</v>
      </c>
      <c r="M13" s="274">
        <v>30</v>
      </c>
      <c r="N13" s="274">
        <v>40</v>
      </c>
      <c r="O13" s="274">
        <v>50</v>
      </c>
      <c r="P13" s="280">
        <v>60</v>
      </c>
      <c r="Q13" s="274">
        <v>70</v>
      </c>
      <c r="R13" s="304">
        <v>80</v>
      </c>
      <c r="S13" s="304">
        <v>90</v>
      </c>
      <c r="T13" s="276">
        <v>100</v>
      </c>
      <c r="U13" s="183"/>
      <c r="V13" s="184"/>
      <c r="W13" s="189">
        <v>0.2</v>
      </c>
      <c r="X13" s="190"/>
      <c r="Y13" s="225">
        <f>U13*W13</f>
        <v>0</v>
      </c>
      <c r="Z13" s="226"/>
      <c r="AA13" s="239"/>
      <c r="AB13" s="240"/>
      <c r="AC13" s="174"/>
      <c r="AD13" s="175"/>
      <c r="AE13" s="175"/>
      <c r="AF13" s="176"/>
    </row>
    <row r="14" spans="1:45" s="2" customFormat="1" ht="22.15" customHeight="1" x14ac:dyDescent="0.2">
      <c r="A14" s="332"/>
      <c r="B14" s="39"/>
      <c r="C14" s="287"/>
      <c r="D14" s="288"/>
      <c r="E14" s="289"/>
      <c r="F14" s="311"/>
      <c r="G14" s="312"/>
      <c r="H14" s="299"/>
      <c r="I14" s="298"/>
      <c r="J14" s="302"/>
      <c r="K14" s="274"/>
      <c r="L14" s="274"/>
      <c r="M14" s="274"/>
      <c r="N14" s="274"/>
      <c r="O14" s="274"/>
      <c r="P14" s="280"/>
      <c r="Q14" s="274"/>
      <c r="R14" s="274"/>
      <c r="S14" s="274"/>
      <c r="T14" s="305"/>
      <c r="U14" s="185"/>
      <c r="V14" s="186"/>
      <c r="W14" s="191"/>
      <c r="X14" s="192"/>
      <c r="Y14" s="227"/>
      <c r="Z14" s="228"/>
      <c r="AA14" s="239"/>
      <c r="AB14" s="240"/>
      <c r="AC14" s="177"/>
      <c r="AD14" s="178"/>
      <c r="AE14" s="178"/>
      <c r="AF14" s="179"/>
    </row>
    <row r="15" spans="1:45" s="2" customFormat="1" ht="22.15" customHeight="1" x14ac:dyDescent="0.2">
      <c r="A15" s="332"/>
      <c r="B15" s="39"/>
      <c r="C15" s="287"/>
      <c r="D15" s="288"/>
      <c r="E15" s="289"/>
      <c r="F15" s="311"/>
      <c r="G15" s="312"/>
      <c r="H15" s="299"/>
      <c r="I15" s="298"/>
      <c r="J15" s="303" t="s">
        <v>24</v>
      </c>
      <c r="K15" s="92">
        <v>10</v>
      </c>
      <c r="L15" s="92">
        <v>20</v>
      </c>
      <c r="M15" s="92">
        <v>30</v>
      </c>
      <c r="N15" s="92">
        <v>40</v>
      </c>
      <c r="O15" s="92">
        <v>50</v>
      </c>
      <c r="P15" s="94">
        <v>0.6</v>
      </c>
      <c r="Q15" s="92">
        <v>70</v>
      </c>
      <c r="R15" s="92">
        <v>80</v>
      </c>
      <c r="S15" s="92">
        <v>90</v>
      </c>
      <c r="T15" s="93">
        <v>100</v>
      </c>
      <c r="U15" s="172"/>
      <c r="V15" s="186"/>
      <c r="W15" s="191"/>
      <c r="X15" s="192"/>
      <c r="Y15" s="227"/>
      <c r="Z15" s="228"/>
      <c r="AA15" s="239"/>
      <c r="AB15" s="240"/>
      <c r="AC15" s="177"/>
      <c r="AD15" s="178"/>
      <c r="AE15" s="178"/>
      <c r="AF15" s="179"/>
    </row>
    <row r="16" spans="1:45" s="2" customFormat="1" ht="22.15" customHeight="1" thickBot="1" x14ac:dyDescent="0.25">
      <c r="A16" s="332"/>
      <c r="B16" s="40"/>
      <c r="C16" s="306"/>
      <c r="D16" s="307"/>
      <c r="E16" s="308"/>
      <c r="F16" s="313"/>
      <c r="G16" s="314"/>
      <c r="H16" s="299"/>
      <c r="I16" s="298"/>
      <c r="J16" s="82"/>
      <c r="K16" s="40"/>
      <c r="L16" s="40"/>
      <c r="M16" s="40"/>
      <c r="N16" s="39"/>
      <c r="O16" s="40"/>
      <c r="P16" s="40"/>
      <c r="Q16" s="40"/>
      <c r="R16" s="40"/>
      <c r="S16" s="40"/>
      <c r="T16" s="73"/>
      <c r="U16" s="224"/>
      <c r="V16" s="214"/>
      <c r="W16" s="215"/>
      <c r="X16" s="216"/>
      <c r="Y16" s="229"/>
      <c r="Z16" s="230"/>
      <c r="AA16" s="239"/>
      <c r="AB16" s="240"/>
      <c r="AC16" s="177"/>
      <c r="AD16" s="178"/>
      <c r="AE16" s="178"/>
      <c r="AF16" s="179"/>
      <c r="AK16" s="25"/>
      <c r="AL16" s="25"/>
      <c r="AM16" s="25"/>
      <c r="AN16" s="25"/>
      <c r="AO16" s="25"/>
      <c r="AP16" s="25"/>
      <c r="AQ16" s="25"/>
      <c r="AR16" s="25"/>
      <c r="AS16" s="25"/>
    </row>
    <row r="17" spans="1:45" s="2" customFormat="1" ht="22.15" customHeight="1" x14ac:dyDescent="0.2">
      <c r="A17" s="332"/>
      <c r="B17" s="281" t="s">
        <v>20</v>
      </c>
      <c r="C17" s="284" t="s">
        <v>31</v>
      </c>
      <c r="D17" s="285"/>
      <c r="E17" s="286"/>
      <c r="F17" s="293" t="s">
        <v>154</v>
      </c>
      <c r="G17" s="294"/>
      <c r="H17" s="297" t="s">
        <v>146</v>
      </c>
      <c r="I17" s="298"/>
      <c r="J17" s="302">
        <v>-30</v>
      </c>
      <c r="K17" s="274">
        <v>-25</v>
      </c>
      <c r="L17" s="274">
        <v>-20</v>
      </c>
      <c r="M17" s="279">
        <v>-15</v>
      </c>
      <c r="N17" s="274">
        <v>-10</v>
      </c>
      <c r="O17" s="274">
        <v>-5</v>
      </c>
      <c r="P17" s="280">
        <v>100</v>
      </c>
      <c r="Q17" s="274"/>
      <c r="R17" s="274"/>
      <c r="S17" s="274"/>
      <c r="T17" s="276"/>
      <c r="U17" s="183"/>
      <c r="V17" s="184"/>
      <c r="W17" s="189">
        <v>0.2</v>
      </c>
      <c r="X17" s="190"/>
      <c r="Y17" s="195">
        <f>U17*W17</f>
        <v>0</v>
      </c>
      <c r="Z17" s="195"/>
      <c r="AA17" s="239"/>
      <c r="AB17" s="240"/>
      <c r="AC17" s="174"/>
      <c r="AD17" s="175"/>
      <c r="AE17" s="175"/>
      <c r="AF17" s="176"/>
      <c r="AJ17" s="25"/>
      <c r="AK17" s="25"/>
      <c r="AL17" s="25"/>
      <c r="AM17" s="25"/>
      <c r="AN17" s="25"/>
      <c r="AO17" s="25"/>
      <c r="AP17" s="25"/>
      <c r="AQ17" s="25"/>
      <c r="AR17" s="25"/>
      <c r="AS17" s="25"/>
    </row>
    <row r="18" spans="1:45" s="2" customFormat="1" ht="22.15" customHeight="1" x14ac:dyDescent="0.2">
      <c r="A18" s="332"/>
      <c r="B18" s="282"/>
      <c r="C18" s="287"/>
      <c r="D18" s="288"/>
      <c r="E18" s="289"/>
      <c r="F18" s="293"/>
      <c r="G18" s="294"/>
      <c r="H18" s="299"/>
      <c r="I18" s="298"/>
      <c r="J18" s="302"/>
      <c r="K18" s="274"/>
      <c r="L18" s="274"/>
      <c r="M18" s="279"/>
      <c r="N18" s="274"/>
      <c r="O18" s="274"/>
      <c r="P18" s="280"/>
      <c r="Q18" s="274"/>
      <c r="R18" s="275"/>
      <c r="S18" s="274"/>
      <c r="T18" s="276"/>
      <c r="U18" s="185"/>
      <c r="V18" s="186"/>
      <c r="W18" s="191"/>
      <c r="X18" s="192"/>
      <c r="Y18" s="195"/>
      <c r="Z18" s="195"/>
      <c r="AA18" s="239"/>
      <c r="AB18" s="240"/>
      <c r="AC18" s="177"/>
      <c r="AD18" s="178"/>
      <c r="AE18" s="178"/>
      <c r="AF18" s="179"/>
    </row>
    <row r="19" spans="1:45" s="2" customFormat="1" ht="22.15" customHeight="1" x14ac:dyDescent="0.2">
      <c r="A19" s="332"/>
      <c r="B19" s="282"/>
      <c r="C19" s="287"/>
      <c r="D19" s="288"/>
      <c r="E19" s="289"/>
      <c r="F19" s="293"/>
      <c r="G19" s="294"/>
      <c r="H19" s="299"/>
      <c r="I19" s="298"/>
      <c r="J19" s="266" t="s">
        <v>153</v>
      </c>
      <c r="K19" s="268" t="s">
        <v>152</v>
      </c>
      <c r="L19" s="268" t="s">
        <v>151</v>
      </c>
      <c r="M19" s="270" t="s">
        <v>149</v>
      </c>
      <c r="N19" s="268" t="s">
        <v>150</v>
      </c>
      <c r="O19" s="268" t="s">
        <v>148</v>
      </c>
      <c r="P19" s="272" t="s">
        <v>147</v>
      </c>
      <c r="Q19" s="268"/>
      <c r="R19" s="268"/>
      <c r="S19" s="268"/>
      <c r="T19" s="277"/>
      <c r="U19" s="185"/>
      <c r="V19" s="186"/>
      <c r="W19" s="191"/>
      <c r="X19" s="192"/>
      <c r="Y19" s="195"/>
      <c r="Z19" s="195"/>
      <c r="AA19" s="239"/>
      <c r="AB19" s="240"/>
      <c r="AC19" s="177"/>
      <c r="AD19" s="178"/>
      <c r="AE19" s="178"/>
      <c r="AF19" s="179"/>
    </row>
    <row r="20" spans="1:45" s="2" customFormat="1" ht="22.15" customHeight="1" thickBot="1" x14ac:dyDescent="0.25">
      <c r="A20" s="333"/>
      <c r="B20" s="283"/>
      <c r="C20" s="290"/>
      <c r="D20" s="291"/>
      <c r="E20" s="292"/>
      <c r="F20" s="295"/>
      <c r="G20" s="296"/>
      <c r="H20" s="300"/>
      <c r="I20" s="301"/>
      <c r="J20" s="267"/>
      <c r="K20" s="269"/>
      <c r="L20" s="269"/>
      <c r="M20" s="271"/>
      <c r="N20" s="269"/>
      <c r="O20" s="269"/>
      <c r="P20" s="273"/>
      <c r="Q20" s="269"/>
      <c r="R20" s="269"/>
      <c r="S20" s="269"/>
      <c r="T20" s="278"/>
      <c r="U20" s="187"/>
      <c r="V20" s="188"/>
      <c r="W20" s="193"/>
      <c r="X20" s="194"/>
      <c r="Y20" s="196"/>
      <c r="Z20" s="196"/>
      <c r="AA20" s="241"/>
      <c r="AB20" s="242"/>
      <c r="AC20" s="180"/>
      <c r="AD20" s="181"/>
      <c r="AE20" s="181"/>
      <c r="AF20" s="182"/>
    </row>
    <row r="22" spans="1:45" x14ac:dyDescent="0.2">
      <c r="A22" s="27" t="s">
        <v>139</v>
      </c>
      <c r="B22" s="27" t="s">
        <v>127</v>
      </c>
      <c r="C22" s="27" t="s">
        <v>128</v>
      </c>
      <c r="D22" s="27" t="s">
        <v>129</v>
      </c>
      <c r="E22" s="27" t="s">
        <v>130</v>
      </c>
      <c r="F22" s="27" t="s">
        <v>131</v>
      </c>
      <c r="G22" s="27" t="s">
        <v>132</v>
      </c>
      <c r="H22" s="27" t="s">
        <v>133</v>
      </c>
      <c r="I22" s="27" t="s">
        <v>134</v>
      </c>
      <c r="J22" s="27" t="s">
        <v>135</v>
      </c>
      <c r="K22" s="27" t="s">
        <v>136</v>
      </c>
      <c r="L22" s="27" t="s">
        <v>137</v>
      </c>
      <c r="M22" s="27" t="s">
        <v>138</v>
      </c>
    </row>
    <row r="23" spans="1:45" x14ac:dyDescent="0.2">
      <c r="A23" t="s">
        <v>50</v>
      </c>
      <c r="B23">
        <v>1212750</v>
      </c>
      <c r="C23">
        <v>1131900</v>
      </c>
      <c r="D23">
        <v>1212750</v>
      </c>
      <c r="E23">
        <v>1148070</v>
      </c>
      <c r="F23">
        <v>1212750</v>
      </c>
      <c r="G23">
        <v>1212750</v>
      </c>
      <c r="H23">
        <v>1196580</v>
      </c>
      <c r="I23">
        <v>1212750</v>
      </c>
      <c r="J23">
        <v>1180410</v>
      </c>
      <c r="K23">
        <v>1212750</v>
      </c>
      <c r="L23">
        <v>1212750</v>
      </c>
      <c r="M23">
        <v>1350195</v>
      </c>
    </row>
    <row r="24" spans="1:45" x14ac:dyDescent="0.2">
      <c r="A24" t="s">
        <v>51</v>
      </c>
      <c r="B24">
        <v>4514816</v>
      </c>
      <c r="C24">
        <v>4109188</v>
      </c>
      <c r="D24">
        <v>4179732</v>
      </c>
      <c r="E24">
        <v>3906374</v>
      </c>
      <c r="F24">
        <v>4109188</v>
      </c>
      <c r="G24">
        <v>3994554</v>
      </c>
      <c r="H24">
        <v>4188550</v>
      </c>
      <c r="I24">
        <v>4241458</v>
      </c>
      <c r="J24">
        <v>4364910</v>
      </c>
      <c r="K24">
        <v>4109188</v>
      </c>
      <c r="L24">
        <v>3994554</v>
      </c>
      <c r="M24">
        <v>4259094</v>
      </c>
    </row>
    <row r="25" spans="1:45" x14ac:dyDescent="0.2">
      <c r="A25" t="s">
        <v>52</v>
      </c>
      <c r="B25">
        <v>1592745</v>
      </c>
      <c r="C25">
        <v>1617000</v>
      </c>
      <c r="D25">
        <v>1495725</v>
      </c>
      <c r="E25">
        <v>1164240</v>
      </c>
      <c r="F25">
        <v>1439130</v>
      </c>
      <c r="G25">
        <v>1463385</v>
      </c>
      <c r="H25">
        <v>1584660</v>
      </c>
      <c r="I25">
        <v>1641255</v>
      </c>
      <c r="J25">
        <v>1576575</v>
      </c>
      <c r="K25">
        <v>1487640</v>
      </c>
      <c r="L25">
        <v>1422960</v>
      </c>
      <c r="M25">
        <v>1447215</v>
      </c>
    </row>
    <row r="26" spans="1:45" x14ac:dyDescent="0.2">
      <c r="A26" t="s">
        <v>53</v>
      </c>
      <c r="B26">
        <v>2295000</v>
      </c>
      <c r="C26">
        <v>2295000</v>
      </c>
      <c r="D26">
        <v>2295000</v>
      </c>
      <c r="E26">
        <v>2295000</v>
      </c>
      <c r="F26">
        <v>2295000</v>
      </c>
      <c r="G26">
        <v>2295000</v>
      </c>
      <c r="H26">
        <v>2439500</v>
      </c>
      <c r="I26">
        <v>2397000</v>
      </c>
      <c r="J26">
        <v>2303500</v>
      </c>
      <c r="K26">
        <v>2295000</v>
      </c>
      <c r="L26">
        <v>2227000</v>
      </c>
      <c r="M26">
        <v>2320500</v>
      </c>
    </row>
    <row r="27" spans="1:45" x14ac:dyDescent="0.2">
      <c r="A27" t="s">
        <v>54</v>
      </c>
      <c r="B27">
        <v>400000</v>
      </c>
      <c r="C27">
        <v>500000</v>
      </c>
      <c r="D27">
        <v>600000</v>
      </c>
      <c r="E27">
        <v>700000</v>
      </c>
      <c r="F27">
        <v>800000</v>
      </c>
      <c r="G27">
        <v>900000</v>
      </c>
      <c r="H27">
        <v>1000000</v>
      </c>
      <c r="I27">
        <v>1100000</v>
      </c>
      <c r="J27">
        <v>1200000</v>
      </c>
      <c r="K27">
        <v>1300000</v>
      </c>
      <c r="L27">
        <v>1400000</v>
      </c>
      <c r="M27">
        <v>1500000</v>
      </c>
    </row>
    <row r="28" spans="1:45" ht="22" x14ac:dyDescent="0.2">
      <c r="A28" s="34" t="s">
        <v>55</v>
      </c>
      <c r="B28">
        <v>2225344</v>
      </c>
      <c r="C28">
        <v>1985544</v>
      </c>
      <c r="D28">
        <v>2033504</v>
      </c>
      <c r="E28">
        <v>2110240</v>
      </c>
      <c r="F28">
        <v>2110240</v>
      </c>
      <c r="G28">
        <v>2110240</v>
      </c>
      <c r="H28">
        <v>2155716</v>
      </c>
      <c r="I28">
        <v>2211228</v>
      </c>
      <c r="J28">
        <v>2201976</v>
      </c>
      <c r="K28">
        <v>2035440</v>
      </c>
      <c r="L28">
        <v>2035440</v>
      </c>
      <c r="M28">
        <v>2303748</v>
      </c>
    </row>
    <row r="29" spans="1:45" x14ac:dyDescent="0.2">
      <c r="A29" s="34" t="s">
        <v>56</v>
      </c>
      <c r="B29">
        <v>1290000</v>
      </c>
      <c r="C29">
        <v>1290000</v>
      </c>
      <c r="D29">
        <v>1290000</v>
      </c>
      <c r="E29">
        <v>1290000</v>
      </c>
      <c r="F29">
        <v>1290000</v>
      </c>
      <c r="G29">
        <v>1290000</v>
      </c>
      <c r="H29">
        <v>1290000</v>
      </c>
      <c r="I29">
        <v>1290000</v>
      </c>
      <c r="J29">
        <v>1298600</v>
      </c>
      <c r="K29">
        <v>1376000</v>
      </c>
      <c r="L29">
        <v>1376000</v>
      </c>
      <c r="M29">
        <v>1307200</v>
      </c>
    </row>
    <row r="30" spans="1:45" ht="22" x14ac:dyDescent="0.2">
      <c r="A30" s="34" t="s">
        <v>57</v>
      </c>
      <c r="B30">
        <v>1398704</v>
      </c>
      <c r="C30">
        <v>1260674</v>
      </c>
      <c r="D30">
        <v>1288280</v>
      </c>
      <c r="E30">
        <v>1131846</v>
      </c>
      <c r="F30">
        <v>1214664</v>
      </c>
      <c r="G30">
        <v>1260674</v>
      </c>
      <c r="H30">
        <v>1361896</v>
      </c>
      <c r="I30">
        <v>1058230</v>
      </c>
      <c r="J30">
        <v>1306684</v>
      </c>
      <c r="K30">
        <v>1159452</v>
      </c>
      <c r="L30">
        <v>1214664</v>
      </c>
      <c r="M30">
        <v>1187058</v>
      </c>
    </row>
    <row r="31" spans="1:45" ht="22" x14ac:dyDescent="0.2">
      <c r="A31" s="34" t="s">
        <v>58</v>
      </c>
      <c r="B31">
        <v>5810148</v>
      </c>
      <c r="C31">
        <v>5430636</v>
      </c>
      <c r="D31">
        <v>5638464</v>
      </c>
      <c r="E31">
        <v>5385456</v>
      </c>
      <c r="F31">
        <v>5213772</v>
      </c>
      <c r="G31">
        <v>5430636</v>
      </c>
      <c r="H31">
        <v>6027012</v>
      </c>
      <c r="I31">
        <v>6108336</v>
      </c>
      <c r="J31">
        <v>5783040</v>
      </c>
      <c r="K31">
        <v>5421600</v>
      </c>
      <c r="L31">
        <v>5421600</v>
      </c>
      <c r="M31">
        <v>5710752</v>
      </c>
    </row>
    <row r="32" spans="1:45" x14ac:dyDescent="0.2">
      <c r="A32" t="s">
        <v>59</v>
      </c>
      <c r="B32">
        <v>2074000</v>
      </c>
      <c r="C32">
        <v>2133500</v>
      </c>
      <c r="D32">
        <v>2252500</v>
      </c>
      <c r="E32">
        <v>2006000</v>
      </c>
      <c r="F32">
        <v>1972000</v>
      </c>
      <c r="G32">
        <v>2193000</v>
      </c>
      <c r="H32">
        <v>2167500</v>
      </c>
      <c r="I32">
        <v>2218500</v>
      </c>
      <c r="J32">
        <v>2482000</v>
      </c>
      <c r="K32">
        <v>2269500</v>
      </c>
      <c r="L32">
        <v>2278000</v>
      </c>
      <c r="M32">
        <v>2422500</v>
      </c>
    </row>
    <row r="33" spans="1:13" x14ac:dyDescent="0.2">
      <c r="A33" t="s">
        <v>60</v>
      </c>
      <c r="B33">
        <v>708260</v>
      </c>
      <c r="C33">
        <v>708260</v>
      </c>
      <c r="D33">
        <v>708260</v>
      </c>
      <c r="E33">
        <v>708260</v>
      </c>
      <c r="F33">
        <v>1001682</v>
      </c>
      <c r="G33">
        <v>1001682</v>
      </c>
      <c r="H33">
        <v>1001682</v>
      </c>
      <c r="I33">
        <v>1001682</v>
      </c>
      <c r="J33">
        <v>1001682</v>
      </c>
      <c r="K33">
        <v>1001682</v>
      </c>
      <c r="L33">
        <v>1001682</v>
      </c>
      <c r="M33">
        <v>1001682</v>
      </c>
    </row>
    <row r="34" spans="1:13" x14ac:dyDescent="0.2">
      <c r="A34" t="s">
        <v>61</v>
      </c>
      <c r="B34">
        <v>5693483</v>
      </c>
      <c r="C34">
        <v>4556853</v>
      </c>
      <c r="D34">
        <v>5125168</v>
      </c>
      <c r="E34">
        <v>5125168</v>
      </c>
      <c r="F34">
        <v>5404159</v>
      </c>
      <c r="G34">
        <v>5404159</v>
      </c>
      <c r="H34">
        <v>5693483</v>
      </c>
      <c r="I34">
        <v>5693483</v>
      </c>
      <c r="J34">
        <v>5125168</v>
      </c>
      <c r="K34">
        <v>5125168</v>
      </c>
      <c r="L34">
        <v>5125168</v>
      </c>
      <c r="M34">
        <v>5693483</v>
      </c>
    </row>
    <row r="35" spans="1:13" x14ac:dyDescent="0.2">
      <c r="A35" t="s">
        <v>62</v>
      </c>
      <c r="B35">
        <v>1585359</v>
      </c>
      <c r="C35">
        <v>1265310</v>
      </c>
      <c r="D35">
        <v>1429056</v>
      </c>
      <c r="E35">
        <v>1429056</v>
      </c>
      <c r="F35">
        <v>1503486</v>
      </c>
      <c r="G35">
        <v>1503486</v>
      </c>
      <c r="H35">
        <v>1585359</v>
      </c>
      <c r="I35">
        <v>1585359</v>
      </c>
      <c r="J35">
        <v>1429056</v>
      </c>
      <c r="K35">
        <v>1488600</v>
      </c>
      <c r="L35">
        <v>1488600</v>
      </c>
      <c r="M35">
        <v>1585359</v>
      </c>
    </row>
    <row r="36" spans="1:13" x14ac:dyDescent="0.2">
      <c r="A36" t="s">
        <v>63</v>
      </c>
      <c r="B36">
        <v>300000</v>
      </c>
      <c r="C36">
        <v>400000</v>
      </c>
      <c r="D36">
        <v>500000</v>
      </c>
      <c r="E36">
        <v>600000</v>
      </c>
      <c r="F36">
        <v>700000</v>
      </c>
      <c r="G36">
        <v>800000</v>
      </c>
      <c r="H36">
        <v>900000</v>
      </c>
      <c r="I36">
        <v>1000000</v>
      </c>
      <c r="J36">
        <v>1100000</v>
      </c>
      <c r="K36">
        <v>1200000</v>
      </c>
      <c r="L36">
        <v>1300000</v>
      </c>
      <c r="M36">
        <v>1400000</v>
      </c>
    </row>
    <row r="37" spans="1:13" x14ac:dyDescent="0.2">
      <c r="A37" t="s">
        <v>64</v>
      </c>
      <c r="B37">
        <v>2745080</v>
      </c>
      <c r="C37">
        <v>2006020</v>
      </c>
      <c r="D37">
        <v>2745080</v>
      </c>
      <c r="E37">
        <v>2745080</v>
      </c>
      <c r="F37">
        <v>2745080</v>
      </c>
      <c r="G37">
        <v>2745080</v>
      </c>
      <c r="H37">
        <v>2745080</v>
      </c>
      <c r="I37">
        <v>2745080</v>
      </c>
      <c r="J37">
        <v>2745080</v>
      </c>
      <c r="K37">
        <v>2745080</v>
      </c>
      <c r="L37">
        <v>2745080</v>
      </c>
      <c r="M37">
        <v>2745080</v>
      </c>
    </row>
    <row r="38" spans="1:13" x14ac:dyDescent="0.2">
      <c r="A38" t="s">
        <v>65</v>
      </c>
      <c r="B38">
        <v>1906560</v>
      </c>
      <c r="C38">
        <v>1529220</v>
      </c>
      <c r="D38">
        <v>1717890</v>
      </c>
      <c r="E38">
        <v>1717890</v>
      </c>
      <c r="F38">
        <v>1807260</v>
      </c>
      <c r="G38">
        <v>1807260</v>
      </c>
      <c r="H38">
        <v>1906560</v>
      </c>
      <c r="I38">
        <v>1906560</v>
      </c>
      <c r="J38">
        <v>1717890</v>
      </c>
      <c r="K38">
        <v>1717890</v>
      </c>
      <c r="L38">
        <v>1717890</v>
      </c>
      <c r="M38">
        <v>1906560</v>
      </c>
    </row>
    <row r="39" spans="1:13" x14ac:dyDescent="0.2">
      <c r="A39" t="s">
        <v>66</v>
      </c>
      <c r="B39">
        <v>2374520</v>
      </c>
      <c r="C39">
        <v>2374520</v>
      </c>
      <c r="D39">
        <v>2374520</v>
      </c>
      <c r="E39">
        <v>2374520</v>
      </c>
      <c r="F39">
        <v>2374520</v>
      </c>
      <c r="G39">
        <v>2374520</v>
      </c>
      <c r="H39">
        <v>2374520</v>
      </c>
      <c r="I39">
        <v>2374520</v>
      </c>
      <c r="J39">
        <v>2374520</v>
      </c>
      <c r="K39">
        <v>2374520</v>
      </c>
      <c r="L39">
        <v>2374520</v>
      </c>
      <c r="M39">
        <v>2374520</v>
      </c>
    </row>
    <row r="40" spans="1:13" x14ac:dyDescent="0.2">
      <c r="A40" t="s">
        <v>67</v>
      </c>
      <c r="B40">
        <v>3302370</v>
      </c>
      <c r="C40">
        <v>2641896</v>
      </c>
      <c r="D40">
        <v>2976210</v>
      </c>
      <c r="E40">
        <v>2976210</v>
      </c>
      <c r="F40">
        <v>3139290</v>
      </c>
      <c r="G40">
        <v>3139290</v>
      </c>
      <c r="H40">
        <v>3302370</v>
      </c>
      <c r="I40">
        <v>3302370</v>
      </c>
      <c r="J40">
        <v>2976210</v>
      </c>
      <c r="K40">
        <v>2976210</v>
      </c>
      <c r="L40">
        <v>2976210</v>
      </c>
      <c r="M40">
        <v>3302370</v>
      </c>
    </row>
    <row r="41" spans="1:13" x14ac:dyDescent="0.2">
      <c r="A41" t="s">
        <v>68</v>
      </c>
      <c r="B41">
        <v>1385368</v>
      </c>
      <c r="C41">
        <v>1323600</v>
      </c>
      <c r="D41">
        <v>1244184</v>
      </c>
      <c r="E41">
        <v>1244184</v>
      </c>
      <c r="F41">
        <v>1314776</v>
      </c>
      <c r="G41">
        <v>1314776</v>
      </c>
      <c r="H41">
        <v>1385368</v>
      </c>
      <c r="I41">
        <v>1385368</v>
      </c>
      <c r="J41">
        <v>1323600</v>
      </c>
      <c r="K41">
        <v>1323600</v>
      </c>
      <c r="L41">
        <v>1323600</v>
      </c>
      <c r="M41">
        <v>1385368</v>
      </c>
    </row>
    <row r="42" spans="1:13" x14ac:dyDescent="0.2">
      <c r="A42" t="s">
        <v>69</v>
      </c>
      <c r="B42">
        <v>4165284</v>
      </c>
      <c r="C42">
        <v>3336706</v>
      </c>
      <c r="D42">
        <v>3750995</v>
      </c>
      <c r="E42">
        <v>3750995</v>
      </c>
      <c r="F42">
        <v>3952541</v>
      </c>
      <c r="G42">
        <v>3952541</v>
      </c>
      <c r="H42">
        <v>4165284</v>
      </c>
      <c r="I42">
        <v>4165284</v>
      </c>
      <c r="J42">
        <v>3750995</v>
      </c>
      <c r="K42">
        <v>3750995</v>
      </c>
      <c r="L42">
        <v>3750995</v>
      </c>
      <c r="M42">
        <v>4165284</v>
      </c>
    </row>
    <row r="43" spans="1:13" x14ac:dyDescent="0.2">
      <c r="A43" t="s">
        <v>70</v>
      </c>
      <c r="B43">
        <v>2899314</v>
      </c>
      <c r="C43">
        <v>2323356</v>
      </c>
      <c r="D43">
        <v>2606454</v>
      </c>
      <c r="E43">
        <v>2606454</v>
      </c>
      <c r="F43">
        <v>2752884</v>
      </c>
      <c r="G43">
        <v>2752884</v>
      </c>
      <c r="H43">
        <v>2899314</v>
      </c>
      <c r="I43">
        <v>2899314</v>
      </c>
      <c r="J43">
        <v>2606454</v>
      </c>
      <c r="K43">
        <v>2606454</v>
      </c>
      <c r="L43">
        <v>2606454</v>
      </c>
      <c r="M43">
        <v>2899314</v>
      </c>
    </row>
    <row r="44" spans="1:13" x14ac:dyDescent="0.2">
      <c r="A44" t="s">
        <v>71</v>
      </c>
      <c r="B44">
        <v>1794249</v>
      </c>
      <c r="C44">
        <v>1439454</v>
      </c>
      <c r="D44">
        <v>1611783</v>
      </c>
      <c r="E44">
        <v>1611783</v>
      </c>
      <c r="F44">
        <v>1703016</v>
      </c>
      <c r="G44">
        <v>1703016</v>
      </c>
      <c r="H44">
        <v>1794249</v>
      </c>
      <c r="I44">
        <v>1794249</v>
      </c>
      <c r="J44">
        <v>1611783</v>
      </c>
      <c r="K44">
        <v>1611783</v>
      </c>
      <c r="L44">
        <v>1611783</v>
      </c>
      <c r="M44">
        <v>1794249</v>
      </c>
    </row>
    <row r="45" spans="1:13" x14ac:dyDescent="0.2">
      <c r="A45" t="s">
        <v>72</v>
      </c>
      <c r="B45">
        <v>1029470</v>
      </c>
      <c r="C45">
        <v>791900</v>
      </c>
      <c r="D45">
        <v>950280</v>
      </c>
      <c r="E45">
        <v>1069065</v>
      </c>
      <c r="F45">
        <v>1069065</v>
      </c>
      <c r="G45">
        <v>1148255</v>
      </c>
      <c r="H45">
        <v>1267040</v>
      </c>
      <c r="I45">
        <v>1267040</v>
      </c>
      <c r="J45">
        <v>1140336</v>
      </c>
      <c r="K45">
        <v>1140336</v>
      </c>
      <c r="L45">
        <v>1140336</v>
      </c>
      <c r="M45">
        <v>1140336</v>
      </c>
    </row>
    <row r="46" spans="1:13" x14ac:dyDescent="0.2">
      <c r="A46" t="s">
        <v>73</v>
      </c>
      <c r="B46">
        <v>3601400</v>
      </c>
      <c r="C46">
        <v>3617770</v>
      </c>
      <c r="D46">
        <v>3601400</v>
      </c>
      <c r="E46">
        <v>3601400</v>
      </c>
      <c r="F46">
        <v>3601400</v>
      </c>
      <c r="G46">
        <v>3601400</v>
      </c>
      <c r="H46">
        <v>3601400</v>
      </c>
      <c r="I46">
        <v>3601400</v>
      </c>
      <c r="J46">
        <v>3601400</v>
      </c>
      <c r="K46">
        <v>3601400</v>
      </c>
      <c r="L46">
        <v>3601400</v>
      </c>
      <c r="M46">
        <v>3601400</v>
      </c>
    </row>
    <row r="47" spans="1:13" x14ac:dyDescent="0.2">
      <c r="A47" t="s">
        <v>74</v>
      </c>
      <c r="B47">
        <v>6054066</v>
      </c>
      <c r="C47">
        <v>4841343</v>
      </c>
      <c r="D47">
        <v>5452479</v>
      </c>
      <c r="E47">
        <v>5452479</v>
      </c>
      <c r="F47">
        <v>5748498</v>
      </c>
      <c r="G47">
        <v>5748498</v>
      </c>
      <c r="H47">
        <v>6054066</v>
      </c>
      <c r="I47">
        <v>6054066</v>
      </c>
      <c r="J47">
        <v>5452479</v>
      </c>
      <c r="K47">
        <v>5452479</v>
      </c>
      <c r="L47">
        <v>5452479</v>
      </c>
      <c r="M47">
        <v>6054066</v>
      </c>
    </row>
    <row r="48" spans="1:13" x14ac:dyDescent="0.2">
      <c r="A48" t="s">
        <v>75</v>
      </c>
      <c r="B48">
        <v>1320330</v>
      </c>
      <c r="C48">
        <v>1056264</v>
      </c>
      <c r="D48">
        <v>1160290</v>
      </c>
      <c r="E48">
        <v>1200300</v>
      </c>
      <c r="F48">
        <v>1256314</v>
      </c>
      <c r="G48">
        <v>1424356</v>
      </c>
      <c r="H48">
        <v>1584396</v>
      </c>
      <c r="I48">
        <v>1584396</v>
      </c>
      <c r="J48">
        <v>1360340</v>
      </c>
      <c r="K48">
        <v>1120280</v>
      </c>
      <c r="L48">
        <v>1200300</v>
      </c>
      <c r="M48">
        <v>1280320</v>
      </c>
    </row>
    <row r="49" spans="1:13" x14ac:dyDescent="0.2">
      <c r="A49" t="s">
        <v>76</v>
      </c>
      <c r="D49">
        <v>200000</v>
      </c>
      <c r="E49">
        <v>300000</v>
      </c>
      <c r="F49">
        <v>400000</v>
      </c>
      <c r="G49">
        <v>500000</v>
      </c>
      <c r="H49">
        <v>600000</v>
      </c>
      <c r="I49">
        <v>700000</v>
      </c>
      <c r="J49">
        <v>800000</v>
      </c>
      <c r="K49">
        <v>900000</v>
      </c>
      <c r="L49">
        <v>1000000</v>
      </c>
      <c r="M49">
        <v>1100000</v>
      </c>
    </row>
    <row r="50" spans="1:13" x14ac:dyDescent="0.2">
      <c r="A50" t="s">
        <v>77</v>
      </c>
      <c r="B50">
        <v>1720355</v>
      </c>
      <c r="C50">
        <v>1374555</v>
      </c>
      <c r="D50">
        <v>1547455</v>
      </c>
      <c r="E50">
        <v>1547455</v>
      </c>
      <c r="F50">
        <v>1633905</v>
      </c>
      <c r="G50">
        <v>1633905</v>
      </c>
      <c r="H50">
        <v>1720355</v>
      </c>
      <c r="I50">
        <v>1720355</v>
      </c>
      <c r="J50">
        <v>1547455</v>
      </c>
      <c r="K50">
        <v>1547455</v>
      </c>
      <c r="L50">
        <v>1547455</v>
      </c>
      <c r="M50">
        <v>1720355</v>
      </c>
    </row>
    <row r="51" spans="1:13" x14ac:dyDescent="0.2">
      <c r="A51" t="s">
        <v>78</v>
      </c>
      <c r="B51">
        <v>1215393</v>
      </c>
      <c r="C51">
        <v>1223550</v>
      </c>
      <c r="D51">
        <v>1223550</v>
      </c>
      <c r="E51">
        <v>1223550</v>
      </c>
      <c r="F51">
        <v>1223550</v>
      </c>
      <c r="G51">
        <v>1223550</v>
      </c>
      <c r="H51">
        <v>1215393</v>
      </c>
      <c r="I51">
        <v>1215393</v>
      </c>
      <c r="J51">
        <v>1223550</v>
      </c>
      <c r="K51">
        <v>1223550</v>
      </c>
      <c r="L51">
        <v>1386690</v>
      </c>
      <c r="M51">
        <v>1386690</v>
      </c>
    </row>
    <row r="52" spans="1:13" x14ac:dyDescent="0.2">
      <c r="A52" t="s">
        <v>79</v>
      </c>
      <c r="B52">
        <v>1039800</v>
      </c>
      <c r="C52">
        <v>1005140</v>
      </c>
      <c r="D52">
        <v>1135115</v>
      </c>
      <c r="E52">
        <v>1135115</v>
      </c>
      <c r="F52">
        <v>1195770</v>
      </c>
      <c r="G52">
        <v>1195770</v>
      </c>
      <c r="H52">
        <v>1256425</v>
      </c>
      <c r="I52">
        <v>1256425</v>
      </c>
      <c r="J52">
        <v>823175</v>
      </c>
      <c r="K52">
        <v>883830</v>
      </c>
      <c r="L52">
        <v>892495</v>
      </c>
      <c r="M52">
        <v>1256425</v>
      </c>
    </row>
    <row r="53" spans="1:13" x14ac:dyDescent="0.2">
      <c r="A53" t="s">
        <v>80</v>
      </c>
      <c r="B53">
        <v>3517150</v>
      </c>
      <c r="C53">
        <v>2813720</v>
      </c>
      <c r="D53">
        <v>3170846</v>
      </c>
      <c r="E53">
        <v>3170846</v>
      </c>
      <c r="F53">
        <v>3343998</v>
      </c>
      <c r="G53">
        <v>3343998</v>
      </c>
      <c r="H53">
        <v>3517150</v>
      </c>
      <c r="I53">
        <v>3517150</v>
      </c>
      <c r="J53">
        <v>3170846</v>
      </c>
      <c r="K53">
        <v>3170846</v>
      </c>
      <c r="L53">
        <v>3170846</v>
      </c>
      <c r="M53">
        <v>3517150</v>
      </c>
    </row>
    <row r="54" spans="1:13" x14ac:dyDescent="0.2">
      <c r="A54" t="s">
        <v>81</v>
      </c>
      <c r="B54">
        <v>2552319</v>
      </c>
      <c r="C54">
        <v>2400300</v>
      </c>
      <c r="D54">
        <v>2400300</v>
      </c>
      <c r="E54">
        <v>2400300</v>
      </c>
      <c r="F54">
        <v>2424303</v>
      </c>
      <c r="G54">
        <v>2424303</v>
      </c>
      <c r="H54">
        <v>2552319</v>
      </c>
      <c r="I54">
        <v>2552319</v>
      </c>
      <c r="J54">
        <v>2400300</v>
      </c>
      <c r="K54">
        <v>2400300</v>
      </c>
      <c r="L54">
        <v>2400300</v>
      </c>
      <c r="M54">
        <v>2552319</v>
      </c>
    </row>
    <row r="55" spans="1:13" x14ac:dyDescent="0.2">
      <c r="A55" t="s">
        <v>82</v>
      </c>
      <c r="B55">
        <v>1722480</v>
      </c>
      <c r="C55">
        <v>1722480</v>
      </c>
      <c r="D55">
        <v>1722480</v>
      </c>
      <c r="E55">
        <v>1722480</v>
      </c>
      <c r="F55">
        <v>1722480</v>
      </c>
      <c r="G55">
        <v>1722480</v>
      </c>
      <c r="H55">
        <v>1722480</v>
      </c>
      <c r="I55">
        <v>1722480</v>
      </c>
      <c r="J55">
        <v>1722480</v>
      </c>
      <c r="K55">
        <v>1722480</v>
      </c>
      <c r="L55">
        <v>1722480</v>
      </c>
      <c r="M55">
        <v>1722480</v>
      </c>
    </row>
    <row r="56" spans="1:13" x14ac:dyDescent="0.2">
      <c r="A56" t="s">
        <v>83</v>
      </c>
      <c r="B56">
        <v>1584906</v>
      </c>
      <c r="C56">
        <v>1533780</v>
      </c>
      <c r="D56">
        <v>1533780</v>
      </c>
      <c r="E56">
        <v>1533780</v>
      </c>
      <c r="F56">
        <v>1533780</v>
      </c>
      <c r="G56">
        <v>1533780</v>
      </c>
      <c r="H56">
        <v>1584906</v>
      </c>
      <c r="I56">
        <v>1584906</v>
      </c>
      <c r="J56">
        <v>1618990</v>
      </c>
      <c r="K56">
        <v>1618990</v>
      </c>
      <c r="L56">
        <v>1533780</v>
      </c>
      <c r="M56">
        <v>1584906</v>
      </c>
    </row>
    <row r="57" spans="1:13" x14ac:dyDescent="0.2">
      <c r="A57" t="s">
        <v>84</v>
      </c>
      <c r="B57">
        <v>1769090</v>
      </c>
      <c r="C57">
        <v>1769090</v>
      </c>
      <c r="D57">
        <v>1769090</v>
      </c>
      <c r="E57">
        <v>1769090</v>
      </c>
      <c r="F57">
        <v>1769090</v>
      </c>
      <c r="G57">
        <v>1769090</v>
      </c>
      <c r="H57">
        <v>1769090</v>
      </c>
      <c r="I57">
        <v>1769090</v>
      </c>
      <c r="J57">
        <v>1769090</v>
      </c>
      <c r="K57">
        <v>1769090</v>
      </c>
      <c r="L57">
        <v>1769090</v>
      </c>
      <c r="M57">
        <v>1769090</v>
      </c>
    </row>
    <row r="58" spans="1:13" x14ac:dyDescent="0.2">
      <c r="A58" t="s">
        <v>85</v>
      </c>
      <c r="B58">
        <v>2027800</v>
      </c>
      <c r="C58">
        <v>1622240</v>
      </c>
      <c r="D58">
        <v>1825020</v>
      </c>
      <c r="E58">
        <v>1825020</v>
      </c>
      <c r="F58">
        <v>1926410</v>
      </c>
      <c r="G58">
        <v>1926410</v>
      </c>
      <c r="H58">
        <v>2027800</v>
      </c>
      <c r="I58">
        <v>2027800</v>
      </c>
      <c r="J58">
        <v>1825020</v>
      </c>
      <c r="K58">
        <v>1470155</v>
      </c>
      <c r="L58">
        <v>1672935</v>
      </c>
      <c r="M58">
        <v>2027800</v>
      </c>
    </row>
    <row r="59" spans="1:13" x14ac:dyDescent="0.2">
      <c r="A59" t="s">
        <v>86</v>
      </c>
      <c r="B59">
        <v>1312200</v>
      </c>
      <c r="C59">
        <v>1125900</v>
      </c>
      <c r="D59">
        <v>1271700</v>
      </c>
      <c r="E59">
        <v>1255500</v>
      </c>
      <c r="F59">
        <v>1312200</v>
      </c>
      <c r="G59">
        <v>1328400</v>
      </c>
      <c r="H59">
        <v>1522800</v>
      </c>
      <c r="I59">
        <v>1522800</v>
      </c>
      <c r="J59">
        <v>1368900</v>
      </c>
      <c r="K59">
        <v>1368900</v>
      </c>
      <c r="L59">
        <v>1336500</v>
      </c>
      <c r="M59">
        <v>1522800</v>
      </c>
    </row>
    <row r="60" spans="1:13" x14ac:dyDescent="0.2">
      <c r="A60" t="s">
        <v>87</v>
      </c>
      <c r="B60">
        <v>5001248</v>
      </c>
      <c r="C60">
        <v>4002720</v>
      </c>
      <c r="D60">
        <v>4501984</v>
      </c>
      <c r="E60">
        <v>4501984</v>
      </c>
      <c r="F60">
        <v>4751616</v>
      </c>
      <c r="G60">
        <v>4751616</v>
      </c>
      <c r="H60">
        <v>5001248</v>
      </c>
      <c r="I60">
        <v>5001248</v>
      </c>
      <c r="J60">
        <v>4501984</v>
      </c>
      <c r="K60">
        <v>4501984</v>
      </c>
      <c r="L60">
        <v>4501984</v>
      </c>
      <c r="M60">
        <v>5001248</v>
      </c>
    </row>
    <row r="61" spans="1:13" x14ac:dyDescent="0.2">
      <c r="A61" t="s">
        <v>88</v>
      </c>
      <c r="B61">
        <v>1359040</v>
      </c>
      <c r="C61">
        <v>1087232</v>
      </c>
      <c r="D61">
        <v>1227520</v>
      </c>
      <c r="E61">
        <v>1227520</v>
      </c>
      <c r="F61">
        <v>1288896</v>
      </c>
      <c r="G61">
        <v>1288896</v>
      </c>
      <c r="H61">
        <v>1359040</v>
      </c>
      <c r="I61">
        <v>1359040</v>
      </c>
      <c r="J61">
        <v>1227520</v>
      </c>
      <c r="K61">
        <v>1227520</v>
      </c>
      <c r="L61">
        <v>1227520</v>
      </c>
      <c r="M61">
        <v>1359040</v>
      </c>
    </row>
    <row r="62" spans="1:13" x14ac:dyDescent="0.2">
      <c r="A62" t="s">
        <v>89</v>
      </c>
      <c r="B62">
        <v>1012770</v>
      </c>
      <c r="C62">
        <v>810216</v>
      </c>
      <c r="D62">
        <v>915244</v>
      </c>
      <c r="E62">
        <v>915244</v>
      </c>
      <c r="F62">
        <v>960256</v>
      </c>
      <c r="G62">
        <v>960256</v>
      </c>
      <c r="H62">
        <v>1012770</v>
      </c>
      <c r="I62">
        <v>1012770</v>
      </c>
      <c r="J62">
        <v>915244</v>
      </c>
      <c r="K62">
        <v>915244</v>
      </c>
      <c r="L62">
        <v>915244</v>
      </c>
      <c r="M62">
        <v>1012770</v>
      </c>
    </row>
    <row r="63" spans="1:13" x14ac:dyDescent="0.2">
      <c r="A63" t="s">
        <v>90</v>
      </c>
      <c r="B63">
        <v>2539520</v>
      </c>
      <c r="C63">
        <v>2380800</v>
      </c>
      <c r="D63">
        <v>2380800</v>
      </c>
      <c r="E63">
        <v>2380800</v>
      </c>
      <c r="F63">
        <v>2412544</v>
      </c>
      <c r="G63">
        <v>2412544</v>
      </c>
      <c r="H63">
        <v>2539520</v>
      </c>
      <c r="I63">
        <v>2539520</v>
      </c>
      <c r="J63">
        <v>2380800</v>
      </c>
      <c r="K63">
        <v>2380800</v>
      </c>
      <c r="L63">
        <v>2460160</v>
      </c>
      <c r="M63">
        <v>2539520</v>
      </c>
    </row>
    <row r="64" spans="1:13" x14ac:dyDescent="0.2">
      <c r="A64" t="s">
        <v>91</v>
      </c>
      <c r="B64">
        <v>853380</v>
      </c>
      <c r="C64">
        <v>853380</v>
      </c>
      <c r="D64">
        <v>853380</v>
      </c>
      <c r="E64">
        <v>853380</v>
      </c>
      <c r="F64">
        <v>853380</v>
      </c>
      <c r="G64">
        <v>1008540</v>
      </c>
      <c r="H64">
        <v>1086120</v>
      </c>
      <c r="I64">
        <v>1163700</v>
      </c>
      <c r="J64">
        <v>1163700</v>
      </c>
      <c r="K64">
        <v>1163700</v>
      </c>
      <c r="L64">
        <v>1163700</v>
      </c>
      <c r="M64">
        <v>1163700</v>
      </c>
    </row>
    <row r="65" spans="1:13" x14ac:dyDescent="0.2">
      <c r="A65" t="s">
        <v>92</v>
      </c>
      <c r="B65">
        <v>300000</v>
      </c>
      <c r="C65">
        <v>400000</v>
      </c>
      <c r="D65">
        <v>500000</v>
      </c>
      <c r="E65">
        <v>600000</v>
      </c>
      <c r="F65">
        <v>700000</v>
      </c>
      <c r="G65">
        <v>800000</v>
      </c>
      <c r="H65">
        <v>900000</v>
      </c>
      <c r="I65">
        <v>1000000</v>
      </c>
      <c r="J65">
        <v>1100000</v>
      </c>
      <c r="K65">
        <v>1200000</v>
      </c>
      <c r="L65">
        <v>1300000</v>
      </c>
      <c r="M65">
        <v>1400000</v>
      </c>
    </row>
    <row r="66" spans="1:13" x14ac:dyDescent="0.2">
      <c r="A66" t="s">
        <v>93</v>
      </c>
      <c r="B66">
        <v>200000</v>
      </c>
      <c r="C66">
        <v>300000</v>
      </c>
      <c r="D66">
        <v>400000</v>
      </c>
      <c r="E66">
        <v>500000</v>
      </c>
      <c r="F66">
        <v>600000</v>
      </c>
      <c r="G66">
        <v>700000</v>
      </c>
      <c r="H66">
        <v>800000</v>
      </c>
      <c r="I66">
        <v>900000</v>
      </c>
      <c r="J66">
        <v>1000000</v>
      </c>
      <c r="K66">
        <v>1000000</v>
      </c>
      <c r="L66">
        <v>1100000</v>
      </c>
      <c r="M66">
        <v>1200000</v>
      </c>
    </row>
    <row r="67" spans="1:13" x14ac:dyDescent="0.2">
      <c r="A67" t="s">
        <v>94</v>
      </c>
      <c r="B67">
        <v>6001359</v>
      </c>
      <c r="C67">
        <v>5588310</v>
      </c>
      <c r="D67">
        <v>5685498</v>
      </c>
      <c r="E67">
        <v>5434429</v>
      </c>
      <c r="F67">
        <v>4980885</v>
      </c>
      <c r="G67">
        <v>5304845</v>
      </c>
      <c r="H67">
        <v>5766488</v>
      </c>
      <c r="I67">
        <v>6333418</v>
      </c>
      <c r="J67">
        <v>5685498</v>
      </c>
      <c r="K67">
        <v>5936567</v>
      </c>
      <c r="L67">
        <v>5377736</v>
      </c>
      <c r="M67">
        <v>6325319</v>
      </c>
    </row>
    <row r="68" spans="1:13" x14ac:dyDescent="0.2">
      <c r="A68" t="s">
        <v>95</v>
      </c>
      <c r="B68">
        <v>2150895</v>
      </c>
      <c r="C68">
        <v>1765998</v>
      </c>
      <c r="D68">
        <v>2015049</v>
      </c>
      <c r="E68">
        <v>1615058</v>
      </c>
      <c r="F68">
        <v>1690528</v>
      </c>
      <c r="G68">
        <v>1803733</v>
      </c>
      <c r="H68">
        <v>2082972</v>
      </c>
      <c r="I68">
        <v>2075425</v>
      </c>
      <c r="J68">
        <v>1984861</v>
      </c>
      <c r="K68">
        <v>1954673</v>
      </c>
      <c r="L68">
        <v>1864109</v>
      </c>
      <c r="M68">
        <v>2045237</v>
      </c>
    </row>
    <row r="69" spans="1:13" x14ac:dyDescent="0.2">
      <c r="A69" t="s">
        <v>96</v>
      </c>
      <c r="B69">
        <v>1925300</v>
      </c>
      <c r="C69">
        <v>1851250</v>
      </c>
      <c r="D69">
        <v>1925300</v>
      </c>
      <c r="E69">
        <v>1925300</v>
      </c>
      <c r="F69">
        <v>1925300</v>
      </c>
      <c r="G69">
        <v>1925300</v>
      </c>
      <c r="H69">
        <v>1925300</v>
      </c>
      <c r="I69">
        <v>1925300</v>
      </c>
      <c r="J69">
        <v>1925300</v>
      </c>
      <c r="K69">
        <v>1925300</v>
      </c>
      <c r="L69">
        <v>1925300</v>
      </c>
      <c r="M69">
        <v>1925300</v>
      </c>
    </row>
    <row r="70" spans="1:13" x14ac:dyDescent="0.2">
      <c r="A70" t="s">
        <v>97</v>
      </c>
      <c r="B70">
        <v>1571712</v>
      </c>
      <c r="C70">
        <v>1317946</v>
      </c>
      <c r="D70">
        <v>1309760</v>
      </c>
      <c r="E70">
        <v>1195156</v>
      </c>
      <c r="F70">
        <v>1178784</v>
      </c>
      <c r="G70">
        <v>1203342</v>
      </c>
      <c r="H70">
        <v>1350690</v>
      </c>
      <c r="I70">
        <v>1522596</v>
      </c>
      <c r="J70">
        <v>1538968</v>
      </c>
      <c r="K70">
        <v>1391620</v>
      </c>
      <c r="L70">
        <v>1342504</v>
      </c>
      <c r="M70">
        <v>1268830</v>
      </c>
    </row>
    <row r="71" spans="1:13" x14ac:dyDescent="0.2">
      <c r="A71" t="s">
        <v>98</v>
      </c>
      <c r="B71">
        <v>3168572</v>
      </c>
      <c r="C71">
        <v>2806184</v>
      </c>
      <c r="D71">
        <v>3112820</v>
      </c>
      <c r="E71">
        <v>2778308</v>
      </c>
      <c r="F71">
        <v>2852644</v>
      </c>
      <c r="G71">
        <v>2964148</v>
      </c>
      <c r="H71">
        <v>3363704</v>
      </c>
      <c r="I71">
        <v>3475208</v>
      </c>
      <c r="J71">
        <v>3419456</v>
      </c>
      <c r="K71">
        <v>2852644</v>
      </c>
      <c r="L71">
        <v>2611052</v>
      </c>
      <c r="M71">
        <v>3317244</v>
      </c>
    </row>
    <row r="72" spans="1:13" x14ac:dyDescent="0.2">
      <c r="A72" t="s">
        <v>99</v>
      </c>
      <c r="B72">
        <v>2350350</v>
      </c>
      <c r="C72">
        <v>2350350</v>
      </c>
      <c r="D72">
        <v>2350350</v>
      </c>
      <c r="E72">
        <v>2350350</v>
      </c>
      <c r="F72">
        <v>2350350</v>
      </c>
      <c r="G72">
        <v>2350350</v>
      </c>
      <c r="H72">
        <v>2393875</v>
      </c>
      <c r="I72">
        <v>2350350</v>
      </c>
      <c r="J72">
        <v>2332940</v>
      </c>
      <c r="K72">
        <v>2350350</v>
      </c>
      <c r="L72">
        <v>2350350</v>
      </c>
      <c r="M72">
        <v>2332940</v>
      </c>
    </row>
    <row r="73" spans="1:13" x14ac:dyDescent="0.2">
      <c r="A73" t="s">
        <v>100</v>
      </c>
      <c r="B73">
        <v>1000000</v>
      </c>
      <c r="C73">
        <v>1000000</v>
      </c>
      <c r="D73">
        <v>1000000</v>
      </c>
      <c r="E73">
        <v>1000000</v>
      </c>
      <c r="F73">
        <v>1000000</v>
      </c>
      <c r="G73">
        <v>1000000</v>
      </c>
      <c r="H73">
        <v>1000000</v>
      </c>
      <c r="I73">
        <v>1000000</v>
      </c>
      <c r="J73">
        <v>1000000</v>
      </c>
      <c r="K73">
        <v>1000000</v>
      </c>
      <c r="L73">
        <v>1000000</v>
      </c>
      <c r="M73">
        <v>1000000</v>
      </c>
    </row>
    <row r="74" spans="1:13" x14ac:dyDescent="0.2">
      <c r="A74" t="s">
        <v>101</v>
      </c>
      <c r="B74">
        <v>1420520</v>
      </c>
      <c r="C74">
        <v>1420520</v>
      </c>
      <c r="D74">
        <v>1420520</v>
      </c>
      <c r="E74">
        <v>1420520</v>
      </c>
      <c r="F74">
        <v>1420520</v>
      </c>
      <c r="G74">
        <v>1420520</v>
      </c>
      <c r="H74">
        <v>1420520</v>
      </c>
      <c r="I74">
        <v>1420520</v>
      </c>
      <c r="J74">
        <v>1420520</v>
      </c>
      <c r="K74">
        <v>1420520</v>
      </c>
      <c r="L74">
        <v>1420520</v>
      </c>
      <c r="M74">
        <v>1420520</v>
      </c>
    </row>
    <row r="75" spans="1:13" x14ac:dyDescent="0.2">
      <c r="A75" t="s">
        <v>102</v>
      </c>
      <c r="B75">
        <v>2722300</v>
      </c>
      <c r="C75">
        <v>2722300</v>
      </c>
      <c r="D75">
        <v>2722300</v>
      </c>
      <c r="E75">
        <v>2722300</v>
      </c>
      <c r="F75">
        <v>2722300</v>
      </c>
      <c r="G75">
        <v>2722300</v>
      </c>
      <c r="H75">
        <v>2722300</v>
      </c>
      <c r="I75">
        <v>2722300</v>
      </c>
      <c r="J75">
        <v>2722300</v>
      </c>
      <c r="K75">
        <v>2722300</v>
      </c>
      <c r="L75">
        <v>2722300</v>
      </c>
      <c r="M75">
        <v>2722300</v>
      </c>
    </row>
    <row r="76" spans="1:13" x14ac:dyDescent="0.2">
      <c r="A76" t="s">
        <v>103</v>
      </c>
      <c r="B76">
        <v>1025202</v>
      </c>
      <c r="C76">
        <v>1079160</v>
      </c>
      <c r="D76">
        <v>1079160</v>
      </c>
      <c r="E76">
        <v>800377</v>
      </c>
      <c r="F76">
        <v>1079160</v>
      </c>
      <c r="G76">
        <v>1160097</v>
      </c>
      <c r="H76">
        <v>1214055</v>
      </c>
      <c r="I76">
        <v>1393915</v>
      </c>
      <c r="J76">
        <v>1007216</v>
      </c>
      <c r="K76">
        <v>1016209</v>
      </c>
      <c r="L76">
        <v>1016209</v>
      </c>
      <c r="M76">
        <v>1016209</v>
      </c>
    </row>
    <row r="77" spans="1:13" x14ac:dyDescent="0.2">
      <c r="A77" t="s">
        <v>104</v>
      </c>
      <c r="B77">
        <v>1854720</v>
      </c>
      <c r="C77">
        <v>1854720</v>
      </c>
      <c r="D77">
        <v>1854720</v>
      </c>
      <c r="E77">
        <v>1854720</v>
      </c>
      <c r="F77">
        <v>1854720</v>
      </c>
      <c r="G77">
        <v>1854720</v>
      </c>
      <c r="H77">
        <v>1854720</v>
      </c>
      <c r="I77">
        <v>1854720</v>
      </c>
      <c r="J77">
        <v>1854720</v>
      </c>
      <c r="K77">
        <v>1854720</v>
      </c>
      <c r="L77">
        <v>1854720</v>
      </c>
      <c r="M77">
        <v>1854720</v>
      </c>
    </row>
    <row r="78" spans="1:13" x14ac:dyDescent="0.2">
      <c r="A78" t="s">
        <v>105</v>
      </c>
      <c r="B78">
        <v>400000</v>
      </c>
      <c r="C78">
        <v>500000</v>
      </c>
      <c r="D78">
        <v>600000</v>
      </c>
      <c r="E78">
        <v>700000</v>
      </c>
      <c r="F78">
        <v>800000</v>
      </c>
      <c r="G78">
        <v>900000</v>
      </c>
      <c r="H78">
        <v>1000000</v>
      </c>
      <c r="I78">
        <v>1100000</v>
      </c>
      <c r="J78">
        <v>1200000</v>
      </c>
      <c r="K78">
        <v>1300000</v>
      </c>
      <c r="L78">
        <v>1400000</v>
      </c>
      <c r="M78">
        <v>1500000</v>
      </c>
    </row>
    <row r="79" spans="1:13" x14ac:dyDescent="0.2">
      <c r="A79" t="s">
        <v>106</v>
      </c>
      <c r="B79">
        <v>1522170</v>
      </c>
      <c r="C79">
        <v>1303602</v>
      </c>
      <c r="D79">
        <v>1358244</v>
      </c>
      <c r="E79">
        <v>1217736</v>
      </c>
      <c r="F79">
        <v>1248960</v>
      </c>
      <c r="G79">
        <v>1241154</v>
      </c>
      <c r="H79">
        <v>1303602</v>
      </c>
      <c r="I79">
        <v>1436304</v>
      </c>
      <c r="J79">
        <v>1436304</v>
      </c>
      <c r="K79">
        <v>1248960</v>
      </c>
      <c r="L79">
        <v>1248960</v>
      </c>
      <c r="M79">
        <v>1303602</v>
      </c>
    </row>
    <row r="80" spans="1:13" x14ac:dyDescent="0.2">
      <c r="A80" t="s">
        <v>107</v>
      </c>
      <c r="B80">
        <v>1000000</v>
      </c>
      <c r="C80">
        <v>1000000</v>
      </c>
      <c r="D80">
        <v>1000000</v>
      </c>
      <c r="E80">
        <v>1000000</v>
      </c>
      <c r="F80">
        <v>1000000</v>
      </c>
      <c r="G80">
        <v>1000000</v>
      </c>
      <c r="H80">
        <v>1000000</v>
      </c>
      <c r="I80">
        <v>1000000</v>
      </c>
      <c r="J80">
        <v>1000000</v>
      </c>
      <c r="K80">
        <v>1000000</v>
      </c>
      <c r="L80">
        <v>1000000</v>
      </c>
      <c r="M80">
        <v>1000000</v>
      </c>
    </row>
    <row r="81" spans="1:13" x14ac:dyDescent="0.2">
      <c r="A81" t="s">
        <v>108</v>
      </c>
      <c r="B81">
        <v>4252320</v>
      </c>
      <c r="C81">
        <v>4213552</v>
      </c>
      <c r="D81">
        <v>4597908</v>
      </c>
      <c r="E81">
        <v>4386480</v>
      </c>
      <c r="F81">
        <v>4122000</v>
      </c>
      <c r="G81">
        <v>4113200</v>
      </c>
      <c r="H81">
        <v>4170896</v>
      </c>
      <c r="I81">
        <v>4199118</v>
      </c>
      <c r="J81">
        <v>4180596</v>
      </c>
      <c r="K81">
        <v>4173246</v>
      </c>
      <c r="L81">
        <v>4218516</v>
      </c>
      <c r="M81">
        <v>4569170</v>
      </c>
    </row>
    <row r="82" spans="1:13" x14ac:dyDescent="0.2">
      <c r="A82" t="s">
        <v>109</v>
      </c>
      <c r="B82">
        <v>1001000</v>
      </c>
      <c r="C82">
        <v>1001000</v>
      </c>
      <c r="D82">
        <v>1001000</v>
      </c>
      <c r="E82">
        <v>1001000</v>
      </c>
      <c r="F82">
        <v>1001000</v>
      </c>
      <c r="G82">
        <v>1001000</v>
      </c>
      <c r="H82">
        <v>1001000</v>
      </c>
      <c r="I82">
        <v>1001000</v>
      </c>
      <c r="J82">
        <v>1001000</v>
      </c>
      <c r="K82">
        <v>1001000</v>
      </c>
      <c r="L82">
        <v>1001000</v>
      </c>
      <c r="M82">
        <v>1001000</v>
      </c>
    </row>
    <row r="83" spans="1:13" x14ac:dyDescent="0.2">
      <c r="A83" t="s">
        <v>110</v>
      </c>
      <c r="B83">
        <v>2150460</v>
      </c>
      <c r="C83">
        <v>2076142</v>
      </c>
      <c r="D83">
        <v>2423425</v>
      </c>
      <c r="E83">
        <v>2194560</v>
      </c>
      <c r="F83">
        <v>2232930</v>
      </c>
      <c r="G83">
        <v>2222478</v>
      </c>
      <c r="H83">
        <v>2190980</v>
      </c>
      <c r="I83">
        <v>2282840</v>
      </c>
      <c r="J83">
        <v>2176445</v>
      </c>
      <c r="K83">
        <v>2254000</v>
      </c>
      <c r="L83">
        <v>2097828</v>
      </c>
      <c r="M83">
        <v>2305205</v>
      </c>
    </row>
    <row r="84" spans="1:13" x14ac:dyDescent="0.2">
      <c r="A84" t="s">
        <v>111</v>
      </c>
      <c r="B84">
        <v>1838995</v>
      </c>
      <c r="C84">
        <v>1668515</v>
      </c>
      <c r="D84">
        <v>1832342</v>
      </c>
      <c r="E84">
        <v>1677858</v>
      </c>
      <c r="F84">
        <v>2032825</v>
      </c>
      <c r="G84">
        <v>1627411</v>
      </c>
      <c r="H84">
        <v>1709100</v>
      </c>
      <c r="I84">
        <v>1923425</v>
      </c>
      <c r="J84">
        <v>1707300</v>
      </c>
      <c r="K84">
        <v>1812597</v>
      </c>
      <c r="L84">
        <v>1709100</v>
      </c>
      <c r="M84">
        <v>1823040</v>
      </c>
    </row>
    <row r="85" spans="1:13" x14ac:dyDescent="0.2">
      <c r="A85" t="s">
        <v>112</v>
      </c>
      <c r="B85">
        <v>1612080</v>
      </c>
      <c r="C85">
        <v>1567440</v>
      </c>
      <c r="D85">
        <v>1611900</v>
      </c>
      <c r="E85">
        <v>1634400</v>
      </c>
      <c r="F85">
        <v>1612080</v>
      </c>
      <c r="G85">
        <v>1620360</v>
      </c>
      <c r="H85">
        <v>1612080</v>
      </c>
      <c r="I85">
        <v>1612080</v>
      </c>
      <c r="J85">
        <v>1612080</v>
      </c>
      <c r="K85">
        <v>1612080</v>
      </c>
      <c r="L85">
        <v>1612080</v>
      </c>
      <c r="M85">
        <v>1612080</v>
      </c>
    </row>
    <row r="86" spans="1:13" x14ac:dyDescent="0.2">
      <c r="A86" t="s">
        <v>113</v>
      </c>
      <c r="B86">
        <v>1941508</v>
      </c>
      <c r="C86">
        <v>1583443</v>
      </c>
      <c r="D86">
        <v>1779400</v>
      </c>
      <c r="E86">
        <v>1701657</v>
      </c>
      <c r="F86">
        <v>1806239</v>
      </c>
      <c r="G86">
        <v>1798282</v>
      </c>
      <c r="H86">
        <v>1698564</v>
      </c>
      <c r="I86">
        <v>1943400</v>
      </c>
      <c r="J86">
        <v>1667540</v>
      </c>
      <c r="K86">
        <v>1613456</v>
      </c>
      <c r="L86">
        <v>1667755</v>
      </c>
      <c r="M86">
        <v>2024577</v>
      </c>
    </row>
    <row r="87" spans="1:13" x14ac:dyDescent="0.2">
      <c r="A87" t="s">
        <v>114</v>
      </c>
      <c r="B87">
        <v>2030190</v>
      </c>
      <c r="C87">
        <v>1822986</v>
      </c>
      <c r="D87">
        <v>2020200</v>
      </c>
      <c r="E87">
        <v>1876042</v>
      </c>
      <c r="F87">
        <v>2094610</v>
      </c>
      <c r="G87">
        <v>1904199</v>
      </c>
      <c r="H87">
        <v>1885598</v>
      </c>
      <c r="I87">
        <v>2125200</v>
      </c>
      <c r="J87">
        <v>1856472</v>
      </c>
      <c r="K87">
        <v>1906170</v>
      </c>
      <c r="L87">
        <v>1931532</v>
      </c>
      <c r="M87">
        <v>2033421</v>
      </c>
    </row>
    <row r="88" spans="1:13" x14ac:dyDescent="0.2">
      <c r="A88" t="s">
        <v>115</v>
      </c>
      <c r="B88">
        <v>3742132</v>
      </c>
      <c r="C88">
        <v>3693690</v>
      </c>
      <c r="D88">
        <v>3760393</v>
      </c>
      <c r="E88">
        <v>3666780</v>
      </c>
      <c r="F88">
        <v>3836016</v>
      </c>
      <c r="G88">
        <v>3696278</v>
      </c>
      <c r="H88">
        <v>3774050</v>
      </c>
      <c r="I88">
        <v>3824575</v>
      </c>
      <c r="J88">
        <v>3600000</v>
      </c>
      <c r="K88">
        <v>3660210</v>
      </c>
      <c r="L88">
        <v>3596000</v>
      </c>
      <c r="M88">
        <v>3936410</v>
      </c>
    </row>
    <row r="89" spans="1:13" x14ac:dyDescent="0.2">
      <c r="A89" t="s">
        <v>116</v>
      </c>
      <c r="B89">
        <v>1117800</v>
      </c>
      <c r="C89">
        <v>1050450</v>
      </c>
      <c r="D89">
        <v>1102896</v>
      </c>
      <c r="E89">
        <v>1035828</v>
      </c>
      <c r="F89">
        <v>1125248</v>
      </c>
      <c r="G89">
        <v>1110348</v>
      </c>
      <c r="H89">
        <v>1110348</v>
      </c>
      <c r="I89">
        <v>1155060</v>
      </c>
      <c r="J89">
        <v>1006020</v>
      </c>
      <c r="K89">
        <v>1013472</v>
      </c>
      <c r="L89">
        <v>1102304</v>
      </c>
      <c r="M89">
        <v>1152909</v>
      </c>
    </row>
    <row r="90" spans="1:13" x14ac:dyDescent="0.2">
      <c r="A90" t="s">
        <v>117</v>
      </c>
      <c r="B90">
        <v>1119300</v>
      </c>
      <c r="C90">
        <v>1119000</v>
      </c>
      <c r="D90">
        <v>1223440</v>
      </c>
      <c r="E90">
        <v>1134000</v>
      </c>
      <c r="F90">
        <v>1186140</v>
      </c>
      <c r="G90">
        <v>1119000</v>
      </c>
      <c r="H90">
        <v>1230900</v>
      </c>
      <c r="I90">
        <v>1167450</v>
      </c>
      <c r="J90">
        <v>1134000</v>
      </c>
      <c r="K90">
        <v>1134000</v>
      </c>
      <c r="L90">
        <v>1134000</v>
      </c>
      <c r="M90">
        <v>1230150</v>
      </c>
    </row>
    <row r="91" spans="1:13" x14ac:dyDescent="0.2">
      <c r="A91" t="s">
        <v>118</v>
      </c>
      <c r="B91">
        <v>5458992</v>
      </c>
      <c r="C91">
        <v>5388096</v>
      </c>
      <c r="D91">
        <v>5428608</v>
      </c>
      <c r="E91">
        <v>4618368</v>
      </c>
      <c r="F91">
        <v>4577856</v>
      </c>
      <c r="G91">
        <v>4061328</v>
      </c>
      <c r="H91">
        <v>4628496</v>
      </c>
      <c r="I91">
        <v>4861440</v>
      </c>
      <c r="J91">
        <v>4436064</v>
      </c>
      <c r="K91">
        <v>5357712</v>
      </c>
      <c r="L91">
        <v>5074128</v>
      </c>
      <c r="M91">
        <v>6157824</v>
      </c>
    </row>
    <row r="92" spans="1:13" x14ac:dyDescent="0.2">
      <c r="A92" t="s">
        <v>119</v>
      </c>
      <c r="B92">
        <v>2281284</v>
      </c>
      <c r="C92">
        <v>2065360</v>
      </c>
      <c r="D92">
        <v>2065360</v>
      </c>
      <c r="E92">
        <v>2065360</v>
      </c>
      <c r="F92">
        <v>2065360</v>
      </c>
      <c r="G92">
        <v>2065360</v>
      </c>
      <c r="H92">
        <v>2065360</v>
      </c>
      <c r="I92">
        <v>2065360</v>
      </c>
      <c r="J92">
        <v>2065360</v>
      </c>
      <c r="K92">
        <v>2065360</v>
      </c>
      <c r="L92">
        <v>2065360</v>
      </c>
      <c r="M92">
        <v>2065360</v>
      </c>
    </row>
    <row r="93" spans="1:13" x14ac:dyDescent="0.2">
      <c r="A93" t="s">
        <v>120</v>
      </c>
      <c r="B93">
        <v>1009200</v>
      </c>
      <c r="C93">
        <v>1096200</v>
      </c>
      <c r="D93">
        <v>1104900</v>
      </c>
      <c r="E93">
        <v>1087500</v>
      </c>
      <c r="F93">
        <v>974400</v>
      </c>
      <c r="G93">
        <v>913500</v>
      </c>
      <c r="H93">
        <v>1009200</v>
      </c>
      <c r="I93">
        <v>1078800</v>
      </c>
      <c r="J93">
        <v>1078800</v>
      </c>
      <c r="K93">
        <v>1191900</v>
      </c>
      <c r="L93">
        <v>1122300</v>
      </c>
      <c r="M93">
        <v>1313700</v>
      </c>
    </row>
    <row r="94" spans="1:13" x14ac:dyDescent="0.2">
      <c r="A94" t="s">
        <v>121</v>
      </c>
      <c r="B94">
        <v>1498602</v>
      </c>
      <c r="C94">
        <v>1530830</v>
      </c>
      <c r="D94">
        <v>1297177</v>
      </c>
      <c r="E94">
        <v>1168265</v>
      </c>
      <c r="F94">
        <v>1200493</v>
      </c>
      <c r="G94">
        <v>1256892</v>
      </c>
      <c r="H94">
        <v>1321348</v>
      </c>
      <c r="I94">
        <v>1305234</v>
      </c>
      <c r="J94">
        <v>1442203</v>
      </c>
      <c r="K94">
        <v>1716141</v>
      </c>
      <c r="L94">
        <v>1377747</v>
      </c>
      <c r="M94">
        <v>1667799</v>
      </c>
    </row>
    <row r="95" spans="1:13" x14ac:dyDescent="0.2">
      <c r="A95" t="s">
        <v>122</v>
      </c>
      <c r="B95">
        <v>1072904</v>
      </c>
      <c r="C95">
        <v>1025570</v>
      </c>
      <c r="D95">
        <v>1025570</v>
      </c>
      <c r="E95">
        <v>1025570</v>
      </c>
      <c r="F95">
        <v>1025570</v>
      </c>
      <c r="G95">
        <v>1025570</v>
      </c>
      <c r="H95">
        <v>1025570</v>
      </c>
      <c r="I95">
        <v>1025570</v>
      </c>
      <c r="J95">
        <v>1049237</v>
      </c>
      <c r="K95">
        <v>1025570</v>
      </c>
      <c r="L95">
        <v>1191239</v>
      </c>
      <c r="M95">
        <v>1301685</v>
      </c>
    </row>
    <row r="96" spans="1:13" x14ac:dyDescent="0.2">
      <c r="A96" t="s">
        <v>123</v>
      </c>
      <c r="B96">
        <v>1269318</v>
      </c>
      <c r="C96">
        <v>1419069</v>
      </c>
      <c r="D96">
        <v>1376283</v>
      </c>
      <c r="E96">
        <v>1426200</v>
      </c>
      <c r="F96">
        <v>1369152</v>
      </c>
      <c r="G96">
        <v>1190877</v>
      </c>
      <c r="H96">
        <v>1312104</v>
      </c>
      <c r="I96">
        <v>1362021</v>
      </c>
      <c r="J96">
        <v>1440462</v>
      </c>
      <c r="K96">
        <v>1319235</v>
      </c>
      <c r="L96">
        <v>1190877</v>
      </c>
      <c r="M96">
        <v>1533165</v>
      </c>
    </row>
    <row r="97" spans="1:13" x14ac:dyDescent="0.2">
      <c r="A97" t="s">
        <v>124</v>
      </c>
      <c r="B97">
        <v>1555840</v>
      </c>
      <c r="C97">
        <v>1555840</v>
      </c>
      <c r="D97">
        <v>1555840</v>
      </c>
      <c r="E97">
        <v>1555840</v>
      </c>
      <c r="F97">
        <v>1555840</v>
      </c>
      <c r="G97">
        <v>1555840</v>
      </c>
      <c r="H97">
        <v>1555840</v>
      </c>
      <c r="I97">
        <v>1555840</v>
      </c>
      <c r="J97">
        <v>1555840</v>
      </c>
      <c r="K97">
        <v>1555840</v>
      </c>
      <c r="L97">
        <v>1555840</v>
      </c>
      <c r="M97">
        <v>1612416</v>
      </c>
    </row>
    <row r="98" spans="1:13" x14ac:dyDescent="0.2">
      <c r="A98" t="s">
        <v>125</v>
      </c>
      <c r="B98">
        <v>1317330</v>
      </c>
      <c r="C98">
        <v>1317330</v>
      </c>
      <c r="D98">
        <v>1317330</v>
      </c>
      <c r="E98">
        <v>1317330</v>
      </c>
      <c r="F98">
        <v>1317330</v>
      </c>
      <c r="G98">
        <v>1317330</v>
      </c>
      <c r="H98">
        <v>1317330</v>
      </c>
      <c r="I98">
        <v>1317330</v>
      </c>
      <c r="J98">
        <v>1317330</v>
      </c>
      <c r="K98">
        <v>1317330</v>
      </c>
      <c r="L98">
        <v>1317330</v>
      </c>
      <c r="M98">
        <v>1317330</v>
      </c>
    </row>
    <row r="99" spans="1:13" x14ac:dyDescent="0.2">
      <c r="A99" t="s">
        <v>126</v>
      </c>
      <c r="B99">
        <v>1267920</v>
      </c>
      <c r="C99">
        <v>1267920</v>
      </c>
      <c r="D99">
        <v>1267920</v>
      </c>
      <c r="E99">
        <v>1267920</v>
      </c>
      <c r="F99">
        <v>1267920</v>
      </c>
      <c r="G99">
        <v>1267920</v>
      </c>
      <c r="H99">
        <v>1267920</v>
      </c>
      <c r="I99">
        <v>1267920</v>
      </c>
      <c r="J99">
        <v>1267920</v>
      </c>
      <c r="K99">
        <v>1267920</v>
      </c>
      <c r="L99">
        <v>1267920</v>
      </c>
      <c r="M99">
        <v>1267920</v>
      </c>
    </row>
  </sheetData>
  <mergeCells count="131">
    <mergeCell ref="Y2:Z4"/>
    <mergeCell ref="AA2:AB4"/>
    <mergeCell ref="AC2:AF4"/>
    <mergeCell ref="A5:A20"/>
    <mergeCell ref="B5:B8"/>
    <mergeCell ref="C5:E8"/>
    <mergeCell ref="F5:G8"/>
    <mergeCell ref="H5:I8"/>
    <mergeCell ref="J5:J6"/>
    <mergeCell ref="K5:K6"/>
    <mergeCell ref="C2:E4"/>
    <mergeCell ref="F2:G4"/>
    <mergeCell ref="H2:I4"/>
    <mergeCell ref="J2:T4"/>
    <mergeCell ref="U2:V4"/>
    <mergeCell ref="W2:X4"/>
    <mergeCell ref="AC5:AF8"/>
    <mergeCell ref="J7:J8"/>
    <mergeCell ref="K7:K8"/>
    <mergeCell ref="L7:L8"/>
    <mergeCell ref="M7:M8"/>
    <mergeCell ref="N7:N8"/>
    <mergeCell ref="O7:O8"/>
    <mergeCell ref="P7:P8"/>
    <mergeCell ref="R5:R6"/>
    <mergeCell ref="S5:S6"/>
    <mergeCell ref="T5:T6"/>
    <mergeCell ref="U5:V8"/>
    <mergeCell ref="W5:X8"/>
    <mergeCell ref="Y5:Z8"/>
    <mergeCell ref="R7:R8"/>
    <mergeCell ref="S7:S8"/>
    <mergeCell ref="T7:T8"/>
    <mergeCell ref="L5:L6"/>
    <mergeCell ref="M5:M6"/>
    <mergeCell ref="N5:N6"/>
    <mergeCell ref="O5:O6"/>
    <mergeCell ref="P5:P6"/>
    <mergeCell ref="Q5:Q6"/>
    <mergeCell ref="B9:B12"/>
    <mergeCell ref="C9:E12"/>
    <mergeCell ref="F9:G12"/>
    <mergeCell ref="H9:I12"/>
    <mergeCell ref="J9:J10"/>
    <mergeCell ref="K9:K10"/>
    <mergeCell ref="J11:J12"/>
    <mergeCell ref="K11:K12"/>
    <mergeCell ref="Q7:Q8"/>
    <mergeCell ref="AA5:AB20"/>
    <mergeCell ref="U9:V12"/>
    <mergeCell ref="W9:X12"/>
    <mergeCell ref="Y9:Z12"/>
    <mergeCell ref="R11:R12"/>
    <mergeCell ref="S11:S12"/>
    <mergeCell ref="T11:T12"/>
    <mergeCell ref="L9:L10"/>
    <mergeCell ref="M9:M10"/>
    <mergeCell ref="N9:N10"/>
    <mergeCell ref="O9:O10"/>
    <mergeCell ref="P9:P10"/>
    <mergeCell ref="Q9:Q10"/>
    <mergeCell ref="L11:L12"/>
    <mergeCell ref="M11:M12"/>
    <mergeCell ref="N11:N12"/>
    <mergeCell ref="O11:O12"/>
    <mergeCell ref="P11:P12"/>
    <mergeCell ref="Q11:Q12"/>
    <mergeCell ref="R9:R10"/>
    <mergeCell ref="S9:S10"/>
    <mergeCell ref="T9:T10"/>
    <mergeCell ref="T15:T16"/>
    <mergeCell ref="L13:L14"/>
    <mergeCell ref="M13:M14"/>
    <mergeCell ref="N13:N14"/>
    <mergeCell ref="O13:O14"/>
    <mergeCell ref="P13:P14"/>
    <mergeCell ref="Q13:Q14"/>
    <mergeCell ref="B13:B16"/>
    <mergeCell ref="C13:E16"/>
    <mergeCell ref="F13:G16"/>
    <mergeCell ref="H13:I16"/>
    <mergeCell ref="J13:J14"/>
    <mergeCell ref="K13:K14"/>
    <mergeCell ref="Q17:Q18"/>
    <mergeCell ref="B17:B20"/>
    <mergeCell ref="C17:E20"/>
    <mergeCell ref="F17:G20"/>
    <mergeCell ref="H17:I20"/>
    <mergeCell ref="J17:J18"/>
    <mergeCell ref="K17:K18"/>
    <mergeCell ref="AC13:AF16"/>
    <mergeCell ref="J15:J16"/>
    <mergeCell ref="K15:K16"/>
    <mergeCell ref="L15:L16"/>
    <mergeCell ref="M15:M16"/>
    <mergeCell ref="N15:N16"/>
    <mergeCell ref="O15:O16"/>
    <mergeCell ref="P15:P16"/>
    <mergeCell ref="Q15:Q16"/>
    <mergeCell ref="R15:R16"/>
    <mergeCell ref="R13:R14"/>
    <mergeCell ref="S13:S14"/>
    <mergeCell ref="T13:T14"/>
    <mergeCell ref="U13:V16"/>
    <mergeCell ref="W13:X16"/>
    <mergeCell ref="Y13:Z16"/>
    <mergeCell ref="S15:S16"/>
    <mergeCell ref="A2:B2"/>
    <mergeCell ref="AC17:AF20"/>
    <mergeCell ref="J19:J20"/>
    <mergeCell ref="K19:K20"/>
    <mergeCell ref="L19:L20"/>
    <mergeCell ref="M19:M20"/>
    <mergeCell ref="N19:N20"/>
    <mergeCell ref="O19:O20"/>
    <mergeCell ref="P19:P20"/>
    <mergeCell ref="Q19:Q20"/>
    <mergeCell ref="R19:R20"/>
    <mergeCell ref="R17:R18"/>
    <mergeCell ref="S17:S18"/>
    <mergeCell ref="T17:T18"/>
    <mergeCell ref="U17:V20"/>
    <mergeCell ref="W17:X20"/>
    <mergeCell ref="Y17:Z20"/>
    <mergeCell ref="S19:S20"/>
    <mergeCell ref="T19:T20"/>
    <mergeCell ref="L17:L18"/>
    <mergeCell ref="M17:M18"/>
    <mergeCell ref="N17:N18"/>
    <mergeCell ref="O17:O18"/>
    <mergeCell ref="P17:P18"/>
  </mergeCells>
  <phoneticPr fontId="22"/>
  <conditionalFormatting sqref="W5:W6">
    <cfRule type="cellIs" dxfId="1" priority="1" stopIfTrue="1" operator="equal">
      <formula>0</formula>
    </cfRule>
  </conditionalFormatting>
  <pageMargins left="0.74803149606299213" right="0.74803149606299213" top="1.7716535433070868" bottom="0.98425196850393704" header="0.51181102362204722" footer="0.51181102362204722"/>
  <pageSetup paperSize="9" scale="45" orientation="landscape"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74B67-028C-442D-9171-1F6E8FB41322}">
  <dimension ref="A1:AS107"/>
  <sheetViews>
    <sheetView view="pageBreakPreview" zoomScaleNormal="140" zoomScaleSheetLayoutView="100" workbookViewId="0">
      <selection activeCell="Q15" sqref="Q15:Q16"/>
    </sheetView>
  </sheetViews>
  <sheetFormatPr defaultColWidth="9" defaultRowHeight="13" x14ac:dyDescent="0.2"/>
  <sheetData>
    <row r="1" spans="1:45" ht="13.5" thickBot="1" x14ac:dyDescent="0.25"/>
    <row r="2" spans="1:45" s="1" customFormat="1" ht="22.15" customHeight="1" x14ac:dyDescent="0.2">
      <c r="A2" s="172" t="s">
        <v>157</v>
      </c>
      <c r="B2" s="186"/>
      <c r="C2" s="336" t="s">
        <v>0</v>
      </c>
      <c r="D2" s="337"/>
      <c r="E2" s="345"/>
      <c r="F2" s="348" t="s">
        <v>1</v>
      </c>
      <c r="G2" s="345"/>
      <c r="H2" s="348" t="s">
        <v>2</v>
      </c>
      <c r="I2" s="102"/>
      <c r="J2" s="351" t="s">
        <v>3</v>
      </c>
      <c r="K2" s="352"/>
      <c r="L2" s="352"/>
      <c r="M2" s="352"/>
      <c r="N2" s="352"/>
      <c r="O2" s="352"/>
      <c r="P2" s="352"/>
      <c r="Q2" s="352"/>
      <c r="R2" s="352"/>
      <c r="S2" s="352"/>
      <c r="T2" s="353"/>
      <c r="U2" s="110" t="s">
        <v>4</v>
      </c>
      <c r="V2" s="111"/>
      <c r="W2" s="114" t="s">
        <v>5</v>
      </c>
      <c r="X2" s="114"/>
      <c r="Y2" s="95" t="s">
        <v>6</v>
      </c>
      <c r="Z2" s="95"/>
      <c r="AA2" s="95" t="s">
        <v>7</v>
      </c>
      <c r="AB2" s="98"/>
      <c r="AC2" s="101" t="s">
        <v>8</v>
      </c>
      <c r="AD2" s="102"/>
      <c r="AE2" s="102"/>
      <c r="AF2" s="103"/>
    </row>
    <row r="3" spans="1:45" s="1" customFormat="1" ht="22.15" customHeight="1" x14ac:dyDescent="0.2">
      <c r="C3" s="339"/>
      <c r="D3" s="340"/>
      <c r="E3" s="346"/>
      <c r="F3" s="407"/>
      <c r="G3" s="346"/>
      <c r="H3" s="349"/>
      <c r="I3" s="105"/>
      <c r="J3" s="354"/>
      <c r="K3" s="355"/>
      <c r="L3" s="355"/>
      <c r="M3" s="355"/>
      <c r="N3" s="355"/>
      <c r="O3" s="355"/>
      <c r="P3" s="355"/>
      <c r="Q3" s="355"/>
      <c r="R3" s="355"/>
      <c r="S3" s="355"/>
      <c r="T3" s="356"/>
      <c r="U3" s="112"/>
      <c r="V3" s="112"/>
      <c r="W3" s="115"/>
      <c r="X3" s="115"/>
      <c r="Y3" s="96"/>
      <c r="Z3" s="96"/>
      <c r="AA3" s="99"/>
      <c r="AB3" s="99"/>
      <c r="AC3" s="104"/>
      <c r="AD3" s="105"/>
      <c r="AE3" s="105"/>
      <c r="AF3" s="106"/>
    </row>
    <row r="4" spans="1:45" s="1" customFormat="1" ht="22.15" customHeight="1" thickBot="1" x14ac:dyDescent="0.25">
      <c r="A4" s="3"/>
      <c r="B4" s="3"/>
      <c r="C4" s="342"/>
      <c r="D4" s="343"/>
      <c r="E4" s="347"/>
      <c r="F4" s="408"/>
      <c r="G4" s="347"/>
      <c r="H4" s="350"/>
      <c r="I4" s="108"/>
      <c r="J4" s="357"/>
      <c r="K4" s="358"/>
      <c r="L4" s="358"/>
      <c r="M4" s="358"/>
      <c r="N4" s="358"/>
      <c r="O4" s="358"/>
      <c r="P4" s="358"/>
      <c r="Q4" s="358"/>
      <c r="R4" s="358"/>
      <c r="S4" s="358"/>
      <c r="T4" s="359"/>
      <c r="U4" s="113"/>
      <c r="V4" s="113"/>
      <c r="W4" s="116"/>
      <c r="X4" s="116"/>
      <c r="Y4" s="97"/>
      <c r="Z4" s="97"/>
      <c r="AA4" s="100"/>
      <c r="AB4" s="100"/>
      <c r="AC4" s="107"/>
      <c r="AD4" s="108"/>
      <c r="AE4" s="108"/>
      <c r="AF4" s="109"/>
    </row>
    <row r="5" spans="1:45" s="2" customFormat="1" ht="22.15" customHeight="1" x14ac:dyDescent="0.2">
      <c r="A5" s="403" t="s">
        <v>9</v>
      </c>
      <c r="B5" s="406" t="s">
        <v>10</v>
      </c>
      <c r="C5" s="317" t="s">
        <v>32</v>
      </c>
      <c r="D5" s="318"/>
      <c r="E5" s="319"/>
      <c r="F5" s="320" t="s">
        <v>43</v>
      </c>
      <c r="G5" s="321"/>
      <c r="H5" s="398" t="s">
        <v>158</v>
      </c>
      <c r="I5" s="399"/>
      <c r="J5" s="213">
        <v>0</v>
      </c>
      <c r="K5" s="315">
        <v>10</v>
      </c>
      <c r="L5" s="304">
        <v>20</v>
      </c>
      <c r="M5" s="304">
        <v>30</v>
      </c>
      <c r="N5" s="304">
        <v>40</v>
      </c>
      <c r="O5" s="304">
        <v>50</v>
      </c>
      <c r="P5" s="411">
        <v>60</v>
      </c>
      <c r="Q5" s="304">
        <v>70</v>
      </c>
      <c r="R5" s="304">
        <v>80</v>
      </c>
      <c r="S5" s="304">
        <v>90</v>
      </c>
      <c r="T5" s="402">
        <v>100</v>
      </c>
      <c r="U5" s="243"/>
      <c r="V5" s="244"/>
      <c r="W5" s="245">
        <v>0.4</v>
      </c>
      <c r="X5" s="246"/>
      <c r="Y5" s="247">
        <f>U5*W5</f>
        <v>0</v>
      </c>
      <c r="Z5" s="247"/>
      <c r="AA5" s="237">
        <f>SUM(Y5:Z20)</f>
        <v>0</v>
      </c>
      <c r="AB5" s="238"/>
      <c r="AC5" s="174"/>
      <c r="AD5" s="175"/>
      <c r="AE5" s="175"/>
      <c r="AF5" s="176"/>
    </row>
    <row r="6" spans="1:45" s="2" customFormat="1" ht="22.15" customHeight="1" x14ac:dyDescent="0.2">
      <c r="A6" s="404"/>
      <c r="B6" s="373"/>
      <c r="C6" s="287"/>
      <c r="D6" s="288"/>
      <c r="E6" s="289"/>
      <c r="F6" s="322"/>
      <c r="G6" s="323"/>
      <c r="H6" s="378"/>
      <c r="I6" s="382"/>
      <c r="J6" s="279"/>
      <c r="K6" s="274"/>
      <c r="L6" s="274"/>
      <c r="M6" s="274"/>
      <c r="N6" s="274"/>
      <c r="O6" s="274"/>
      <c r="P6" s="280"/>
      <c r="Q6" s="274"/>
      <c r="R6" s="275"/>
      <c r="S6" s="275"/>
      <c r="T6" s="370"/>
      <c r="U6" s="185"/>
      <c r="V6" s="186"/>
      <c r="W6" s="191"/>
      <c r="X6" s="192"/>
      <c r="Y6" s="195"/>
      <c r="Z6" s="195"/>
      <c r="AA6" s="239"/>
      <c r="AB6" s="240"/>
      <c r="AC6" s="177"/>
      <c r="AD6" s="178"/>
      <c r="AE6" s="178"/>
      <c r="AF6" s="179"/>
    </row>
    <row r="7" spans="1:45" s="2" customFormat="1" ht="22.15" customHeight="1" x14ac:dyDescent="0.2">
      <c r="A7" s="404"/>
      <c r="B7" s="373"/>
      <c r="C7" s="287"/>
      <c r="D7" s="288"/>
      <c r="E7" s="289"/>
      <c r="F7" s="322"/>
      <c r="G7" s="323"/>
      <c r="H7" s="378"/>
      <c r="I7" s="382"/>
      <c r="J7" s="270" t="s">
        <v>11</v>
      </c>
      <c r="K7" s="268">
        <v>75</v>
      </c>
      <c r="L7" s="268">
        <v>80</v>
      </c>
      <c r="M7" s="268">
        <v>85</v>
      </c>
      <c r="N7" s="268">
        <v>90</v>
      </c>
      <c r="O7" s="268">
        <v>95</v>
      </c>
      <c r="P7" s="272">
        <v>1</v>
      </c>
      <c r="Q7" s="268">
        <v>105</v>
      </c>
      <c r="R7" s="268">
        <v>110</v>
      </c>
      <c r="S7" s="268">
        <v>115</v>
      </c>
      <c r="T7" s="409" t="s">
        <v>12</v>
      </c>
      <c r="U7" s="185"/>
      <c r="V7" s="186"/>
      <c r="W7" s="191"/>
      <c r="X7" s="192"/>
      <c r="Y7" s="195"/>
      <c r="Z7" s="195"/>
      <c r="AA7" s="239"/>
      <c r="AB7" s="240"/>
      <c r="AC7" s="177"/>
      <c r="AD7" s="178"/>
      <c r="AE7" s="178"/>
      <c r="AF7" s="179"/>
    </row>
    <row r="8" spans="1:45" s="2" customFormat="1" ht="22.15" customHeight="1" thickBot="1" x14ac:dyDescent="0.25">
      <c r="A8" s="404"/>
      <c r="B8" s="385"/>
      <c r="C8" s="306"/>
      <c r="D8" s="307"/>
      <c r="E8" s="308"/>
      <c r="F8" s="324"/>
      <c r="G8" s="325"/>
      <c r="H8" s="400"/>
      <c r="I8" s="401"/>
      <c r="J8" s="391"/>
      <c r="K8" s="328"/>
      <c r="L8" s="328"/>
      <c r="M8" s="328"/>
      <c r="N8" s="328"/>
      <c r="O8" s="328"/>
      <c r="P8" s="361"/>
      <c r="Q8" s="328"/>
      <c r="R8" s="328"/>
      <c r="S8" s="328"/>
      <c r="T8" s="410"/>
      <c r="U8" s="213"/>
      <c r="V8" s="214"/>
      <c r="W8" s="215"/>
      <c r="X8" s="216"/>
      <c r="Y8" s="217"/>
      <c r="Z8" s="217"/>
      <c r="AA8" s="239"/>
      <c r="AB8" s="240"/>
      <c r="AC8" s="177"/>
      <c r="AD8" s="178"/>
      <c r="AE8" s="178"/>
      <c r="AF8" s="179"/>
    </row>
    <row r="9" spans="1:45" s="2" customFormat="1" ht="22.15" customHeight="1" x14ac:dyDescent="0.2">
      <c r="A9" s="404"/>
      <c r="B9" s="281" t="s">
        <v>13</v>
      </c>
      <c r="C9" s="393" t="s">
        <v>34</v>
      </c>
      <c r="D9" s="285"/>
      <c r="E9" s="286"/>
      <c r="F9" s="394" t="s">
        <v>140</v>
      </c>
      <c r="G9" s="395"/>
      <c r="H9" s="398" t="s">
        <v>156</v>
      </c>
      <c r="I9" s="399"/>
      <c r="J9" s="213">
        <v>0</v>
      </c>
      <c r="K9" s="274">
        <v>10</v>
      </c>
      <c r="L9" s="274">
        <v>20</v>
      </c>
      <c r="M9" s="274">
        <v>30</v>
      </c>
      <c r="N9" s="274">
        <v>40</v>
      </c>
      <c r="O9" s="274">
        <v>50</v>
      </c>
      <c r="P9" s="280">
        <v>60</v>
      </c>
      <c r="Q9" s="274">
        <v>70</v>
      </c>
      <c r="R9" s="274">
        <v>80</v>
      </c>
      <c r="S9" s="274">
        <v>90</v>
      </c>
      <c r="T9" s="370">
        <v>100</v>
      </c>
      <c r="U9" s="183"/>
      <c r="V9" s="184"/>
      <c r="W9" s="189">
        <v>0.3</v>
      </c>
      <c r="X9" s="190"/>
      <c r="Y9" s="225">
        <f>U9*W9</f>
        <v>0</v>
      </c>
      <c r="Z9" s="226"/>
      <c r="AA9" s="239"/>
      <c r="AB9" s="240"/>
      <c r="AC9" s="174"/>
      <c r="AD9" s="175"/>
      <c r="AE9" s="175"/>
      <c r="AF9" s="176"/>
    </row>
    <row r="10" spans="1:45" s="2" customFormat="1" ht="22.15" customHeight="1" x14ac:dyDescent="0.2">
      <c r="A10" s="404"/>
      <c r="B10" s="373"/>
      <c r="C10" s="287"/>
      <c r="D10" s="288"/>
      <c r="E10" s="289"/>
      <c r="F10" s="293"/>
      <c r="G10" s="294"/>
      <c r="H10" s="378"/>
      <c r="I10" s="382"/>
      <c r="J10" s="279"/>
      <c r="K10" s="274"/>
      <c r="L10" s="274"/>
      <c r="M10" s="274"/>
      <c r="N10" s="274"/>
      <c r="O10" s="274"/>
      <c r="P10" s="280"/>
      <c r="Q10" s="274"/>
      <c r="R10" s="274"/>
      <c r="S10" s="274"/>
      <c r="T10" s="370"/>
      <c r="U10" s="185"/>
      <c r="V10" s="186"/>
      <c r="W10" s="191"/>
      <c r="X10" s="192"/>
      <c r="Y10" s="227"/>
      <c r="Z10" s="228"/>
      <c r="AA10" s="239"/>
      <c r="AB10" s="240"/>
      <c r="AC10" s="177"/>
      <c r="AD10" s="178"/>
      <c r="AE10" s="178"/>
      <c r="AF10" s="179"/>
    </row>
    <row r="11" spans="1:45" s="2" customFormat="1" ht="22.15" customHeight="1" x14ac:dyDescent="0.2">
      <c r="A11" s="404"/>
      <c r="B11" s="373"/>
      <c r="C11" s="287"/>
      <c r="D11" s="288"/>
      <c r="E11" s="289"/>
      <c r="F11" s="293"/>
      <c r="G11" s="294"/>
      <c r="H11" s="378"/>
      <c r="I11" s="382"/>
      <c r="J11" s="270" t="s">
        <v>11</v>
      </c>
      <c r="K11" s="268">
        <v>75</v>
      </c>
      <c r="L11" s="268">
        <v>80</v>
      </c>
      <c r="M11" s="389">
        <v>85</v>
      </c>
      <c r="N11" s="389">
        <v>90</v>
      </c>
      <c r="O11" s="389">
        <v>95</v>
      </c>
      <c r="P11" s="392">
        <v>1</v>
      </c>
      <c r="Q11" s="389">
        <v>105</v>
      </c>
      <c r="R11" s="389">
        <v>110</v>
      </c>
      <c r="S11" s="389">
        <v>115</v>
      </c>
      <c r="T11" s="390" t="s">
        <v>12</v>
      </c>
      <c r="U11" s="185"/>
      <c r="V11" s="186"/>
      <c r="W11" s="191"/>
      <c r="X11" s="192"/>
      <c r="Y11" s="227"/>
      <c r="Z11" s="228"/>
      <c r="AA11" s="239"/>
      <c r="AB11" s="240"/>
      <c r="AC11" s="177"/>
      <c r="AD11" s="178"/>
      <c r="AE11" s="178"/>
      <c r="AF11" s="179"/>
    </row>
    <row r="12" spans="1:45" s="2" customFormat="1" ht="22.15" customHeight="1" thickBot="1" x14ac:dyDescent="0.25">
      <c r="A12" s="404"/>
      <c r="B12" s="385"/>
      <c r="C12" s="306"/>
      <c r="D12" s="307"/>
      <c r="E12" s="308"/>
      <c r="F12" s="396"/>
      <c r="G12" s="397"/>
      <c r="H12" s="400"/>
      <c r="I12" s="401"/>
      <c r="J12" s="391"/>
      <c r="K12" s="328"/>
      <c r="L12" s="328"/>
      <c r="M12" s="389"/>
      <c r="N12" s="389"/>
      <c r="O12" s="389"/>
      <c r="P12" s="392"/>
      <c r="Q12" s="389"/>
      <c r="R12" s="389"/>
      <c r="S12" s="389"/>
      <c r="T12" s="390"/>
      <c r="U12" s="213"/>
      <c r="V12" s="214"/>
      <c r="W12" s="215"/>
      <c r="X12" s="216"/>
      <c r="Y12" s="229"/>
      <c r="Z12" s="230"/>
      <c r="AA12" s="239"/>
      <c r="AB12" s="240"/>
      <c r="AC12" s="177"/>
      <c r="AD12" s="178"/>
      <c r="AE12" s="178"/>
      <c r="AF12" s="179"/>
      <c r="AK12" s="25"/>
      <c r="AL12" s="25"/>
      <c r="AM12" s="25"/>
      <c r="AN12" s="25"/>
      <c r="AO12" s="25"/>
      <c r="AP12" s="25"/>
      <c r="AQ12" s="25"/>
      <c r="AR12" s="25"/>
      <c r="AS12" s="25"/>
    </row>
    <row r="13" spans="1:45" s="2" customFormat="1" ht="22.15" customHeight="1" x14ac:dyDescent="0.2">
      <c r="A13" s="404"/>
      <c r="B13" s="281" t="s">
        <v>16</v>
      </c>
      <c r="C13" s="284" t="s">
        <v>23</v>
      </c>
      <c r="D13" s="285"/>
      <c r="E13" s="286"/>
      <c r="F13" s="293" t="s">
        <v>154</v>
      </c>
      <c r="G13" s="294"/>
      <c r="H13" s="386" t="s">
        <v>160</v>
      </c>
      <c r="I13" s="387"/>
      <c r="J13" s="302">
        <v>-30</v>
      </c>
      <c r="K13" s="274">
        <v>-25</v>
      </c>
      <c r="L13" s="274">
        <v>-20</v>
      </c>
      <c r="M13" s="279">
        <v>-15</v>
      </c>
      <c r="N13" s="274">
        <v>-10</v>
      </c>
      <c r="O13" s="274">
        <v>-5</v>
      </c>
      <c r="P13" s="280">
        <v>100</v>
      </c>
      <c r="Q13" s="274"/>
      <c r="R13" s="274"/>
      <c r="S13" s="274"/>
      <c r="T13" s="276"/>
      <c r="U13" s="183"/>
      <c r="V13" s="184"/>
      <c r="W13" s="384">
        <v>0.15</v>
      </c>
      <c r="X13" s="190"/>
      <c r="Y13" s="195">
        <f>U13*W13</f>
        <v>0</v>
      </c>
      <c r="Z13" s="195"/>
      <c r="AA13" s="239"/>
      <c r="AB13" s="240"/>
      <c r="AC13" s="174"/>
      <c r="AD13" s="175"/>
      <c r="AE13" s="175"/>
      <c r="AF13" s="176"/>
      <c r="AJ13" s="25"/>
      <c r="AK13" s="25"/>
      <c r="AL13" s="25"/>
      <c r="AM13" s="25"/>
      <c r="AN13" s="25"/>
      <c r="AO13" s="25"/>
      <c r="AP13" s="25"/>
      <c r="AQ13" s="25"/>
      <c r="AR13" s="25"/>
      <c r="AS13" s="25"/>
    </row>
    <row r="14" spans="1:45" s="2" customFormat="1" ht="22.15" customHeight="1" x14ac:dyDescent="0.2">
      <c r="A14" s="404"/>
      <c r="B14" s="373"/>
      <c r="C14" s="287"/>
      <c r="D14" s="288"/>
      <c r="E14" s="289"/>
      <c r="F14" s="293"/>
      <c r="G14" s="294"/>
      <c r="H14" s="322"/>
      <c r="I14" s="387"/>
      <c r="J14" s="302"/>
      <c r="K14" s="274"/>
      <c r="L14" s="274"/>
      <c r="M14" s="279"/>
      <c r="N14" s="274"/>
      <c r="O14" s="274"/>
      <c r="P14" s="280"/>
      <c r="Q14" s="274"/>
      <c r="R14" s="275"/>
      <c r="S14" s="274"/>
      <c r="T14" s="276"/>
      <c r="U14" s="185"/>
      <c r="V14" s="186"/>
      <c r="W14" s="191"/>
      <c r="X14" s="192"/>
      <c r="Y14" s="195"/>
      <c r="Z14" s="195"/>
      <c r="AA14" s="239"/>
      <c r="AB14" s="240"/>
      <c r="AC14" s="177"/>
      <c r="AD14" s="178"/>
      <c r="AE14" s="178"/>
      <c r="AF14" s="179"/>
    </row>
    <row r="15" spans="1:45" s="2" customFormat="1" ht="22.15" customHeight="1" x14ac:dyDescent="0.2">
      <c r="A15" s="404"/>
      <c r="B15" s="373"/>
      <c r="C15" s="287"/>
      <c r="D15" s="288"/>
      <c r="E15" s="289"/>
      <c r="F15" s="293"/>
      <c r="G15" s="294"/>
      <c r="H15" s="322"/>
      <c r="I15" s="387"/>
      <c r="J15" s="266" t="s">
        <v>153</v>
      </c>
      <c r="K15" s="268" t="s">
        <v>152</v>
      </c>
      <c r="L15" s="268" t="s">
        <v>151</v>
      </c>
      <c r="M15" s="270" t="s">
        <v>149</v>
      </c>
      <c r="N15" s="268" t="s">
        <v>150</v>
      </c>
      <c r="O15" s="268" t="s">
        <v>148</v>
      </c>
      <c r="P15" s="272" t="s">
        <v>147</v>
      </c>
      <c r="Q15" s="268"/>
      <c r="R15" s="268"/>
      <c r="S15" s="268"/>
      <c r="T15" s="277"/>
      <c r="U15" s="185"/>
      <c r="V15" s="186"/>
      <c r="W15" s="191"/>
      <c r="X15" s="192"/>
      <c r="Y15" s="195"/>
      <c r="Z15" s="195"/>
      <c r="AA15" s="239"/>
      <c r="AB15" s="240"/>
      <c r="AC15" s="177"/>
      <c r="AD15" s="178"/>
      <c r="AE15" s="178"/>
      <c r="AF15" s="179"/>
    </row>
    <row r="16" spans="1:45" s="2" customFormat="1" ht="22.15" customHeight="1" thickBot="1" x14ac:dyDescent="0.25">
      <c r="A16" s="404"/>
      <c r="B16" s="385"/>
      <c r="C16" s="306"/>
      <c r="D16" s="307"/>
      <c r="E16" s="308"/>
      <c r="F16" s="295"/>
      <c r="G16" s="296"/>
      <c r="H16" s="324"/>
      <c r="I16" s="388"/>
      <c r="J16" s="267"/>
      <c r="K16" s="269"/>
      <c r="L16" s="269"/>
      <c r="M16" s="271"/>
      <c r="N16" s="269"/>
      <c r="O16" s="269"/>
      <c r="P16" s="273"/>
      <c r="Q16" s="269"/>
      <c r="R16" s="269"/>
      <c r="S16" s="269"/>
      <c r="T16" s="278"/>
      <c r="U16" s="213"/>
      <c r="V16" s="214"/>
      <c r="W16" s="215"/>
      <c r="X16" s="216"/>
      <c r="Y16" s="217"/>
      <c r="Z16" s="217"/>
      <c r="AA16" s="239"/>
      <c r="AB16" s="240"/>
      <c r="AC16" s="177"/>
      <c r="AD16" s="178"/>
      <c r="AE16" s="178"/>
      <c r="AF16" s="179"/>
    </row>
    <row r="17" spans="1:45" s="2" customFormat="1" ht="22.15" customHeight="1" x14ac:dyDescent="0.2">
      <c r="A17" s="404"/>
      <c r="B17" s="281" t="s">
        <v>20</v>
      </c>
      <c r="C17" s="375" t="s">
        <v>35</v>
      </c>
      <c r="D17" s="288"/>
      <c r="E17" s="289"/>
      <c r="F17" s="376" t="s">
        <v>36</v>
      </c>
      <c r="G17" s="377"/>
      <c r="H17" s="381" t="s">
        <v>161</v>
      </c>
      <c r="I17" s="382"/>
      <c r="J17" s="279">
        <v>0</v>
      </c>
      <c r="K17" s="274">
        <v>10</v>
      </c>
      <c r="L17" s="274">
        <v>20</v>
      </c>
      <c r="M17" s="274">
        <v>30</v>
      </c>
      <c r="N17" s="274">
        <v>40</v>
      </c>
      <c r="O17" s="274">
        <v>50</v>
      </c>
      <c r="P17" s="280">
        <v>60</v>
      </c>
      <c r="Q17" s="274">
        <v>70</v>
      </c>
      <c r="R17" s="274">
        <v>80</v>
      </c>
      <c r="S17" s="274">
        <v>90</v>
      </c>
      <c r="T17" s="370">
        <v>100</v>
      </c>
      <c r="U17" s="183"/>
      <c r="V17" s="184"/>
      <c r="W17" s="189">
        <v>0.15</v>
      </c>
      <c r="X17" s="190"/>
      <c r="Y17" s="195">
        <f>U17*W17</f>
        <v>0</v>
      </c>
      <c r="Z17" s="195"/>
      <c r="AA17" s="239"/>
      <c r="AB17" s="240"/>
      <c r="AC17" s="174"/>
      <c r="AD17" s="175"/>
      <c r="AE17" s="175"/>
      <c r="AF17" s="176"/>
      <c r="AJ17" s="25"/>
      <c r="AK17" s="25"/>
      <c r="AL17" s="25"/>
      <c r="AM17" s="25"/>
      <c r="AN17" s="25"/>
      <c r="AO17" s="25"/>
      <c r="AP17" s="25"/>
      <c r="AQ17" s="25"/>
      <c r="AR17" s="25"/>
      <c r="AS17" s="25"/>
    </row>
    <row r="18" spans="1:45" s="2" customFormat="1" ht="22.15" customHeight="1" x14ac:dyDescent="0.2">
      <c r="A18" s="404"/>
      <c r="B18" s="373"/>
      <c r="C18" s="287"/>
      <c r="D18" s="288"/>
      <c r="E18" s="289"/>
      <c r="F18" s="378"/>
      <c r="G18" s="377"/>
      <c r="H18" s="378"/>
      <c r="I18" s="382"/>
      <c r="J18" s="279"/>
      <c r="K18" s="274"/>
      <c r="L18" s="274"/>
      <c r="M18" s="274"/>
      <c r="N18" s="274"/>
      <c r="O18" s="274"/>
      <c r="P18" s="280"/>
      <c r="Q18" s="274"/>
      <c r="R18" s="274"/>
      <c r="S18" s="274"/>
      <c r="T18" s="370"/>
      <c r="U18" s="185"/>
      <c r="V18" s="186"/>
      <c r="W18" s="191"/>
      <c r="X18" s="192"/>
      <c r="Y18" s="195"/>
      <c r="Z18" s="195"/>
      <c r="AA18" s="239"/>
      <c r="AB18" s="240"/>
      <c r="AC18" s="177"/>
      <c r="AD18" s="178"/>
      <c r="AE18" s="178"/>
      <c r="AF18" s="179"/>
    </row>
    <row r="19" spans="1:45" s="2" customFormat="1" ht="22.15" customHeight="1" x14ac:dyDescent="0.2">
      <c r="A19" s="404"/>
      <c r="B19" s="373"/>
      <c r="C19" s="287"/>
      <c r="D19" s="288"/>
      <c r="E19" s="289"/>
      <c r="F19" s="378"/>
      <c r="G19" s="377"/>
      <c r="H19" s="378"/>
      <c r="I19" s="382"/>
      <c r="J19" s="362">
        <v>-0.2</v>
      </c>
      <c r="K19" s="364">
        <v>-0.15</v>
      </c>
      <c r="L19" s="364">
        <v>-0.1</v>
      </c>
      <c r="M19" s="366">
        <v>-0.05</v>
      </c>
      <c r="N19" s="366">
        <v>0</v>
      </c>
      <c r="O19" s="366">
        <v>0.03</v>
      </c>
      <c r="P19" s="368">
        <v>0.05</v>
      </c>
      <c r="Q19" s="366">
        <v>0.1</v>
      </c>
      <c r="R19" s="366">
        <v>0.15</v>
      </c>
      <c r="S19" s="366">
        <v>0.2</v>
      </c>
      <c r="T19" s="371">
        <v>0.25</v>
      </c>
      <c r="U19" s="185"/>
      <c r="V19" s="186"/>
      <c r="W19" s="191"/>
      <c r="X19" s="192"/>
      <c r="Y19" s="195"/>
      <c r="Z19" s="195"/>
      <c r="AA19" s="239"/>
      <c r="AB19" s="240"/>
      <c r="AC19" s="177"/>
      <c r="AD19" s="178"/>
      <c r="AE19" s="178"/>
      <c r="AF19" s="179"/>
    </row>
    <row r="20" spans="1:45" s="2" customFormat="1" ht="22.15" customHeight="1" thickBot="1" x14ac:dyDescent="0.25">
      <c r="A20" s="405"/>
      <c r="B20" s="374"/>
      <c r="C20" s="290"/>
      <c r="D20" s="291"/>
      <c r="E20" s="292"/>
      <c r="F20" s="379"/>
      <c r="G20" s="380"/>
      <c r="H20" s="379"/>
      <c r="I20" s="383"/>
      <c r="J20" s="363"/>
      <c r="K20" s="365"/>
      <c r="L20" s="365"/>
      <c r="M20" s="367"/>
      <c r="N20" s="367"/>
      <c r="O20" s="367"/>
      <c r="P20" s="369"/>
      <c r="Q20" s="367"/>
      <c r="R20" s="367"/>
      <c r="S20" s="367"/>
      <c r="T20" s="372"/>
      <c r="U20" s="187"/>
      <c r="V20" s="188"/>
      <c r="W20" s="193"/>
      <c r="X20" s="194"/>
      <c r="Y20" s="196"/>
      <c r="Z20" s="196"/>
      <c r="AA20" s="241"/>
      <c r="AB20" s="242"/>
      <c r="AC20" s="180"/>
      <c r="AD20" s="181"/>
      <c r="AE20" s="181"/>
      <c r="AF20" s="182"/>
    </row>
    <row r="22" spans="1:45" s="2" customFormat="1" ht="22.15" customHeight="1" x14ac:dyDescent="0.2">
      <c r="A22" s="4"/>
      <c r="B22" s="5"/>
      <c r="C22" s="6"/>
      <c r="D22" s="6"/>
      <c r="E22" s="6"/>
      <c r="F22" s="6"/>
      <c r="G22" s="6"/>
      <c r="H22" s="7"/>
      <c r="I22" s="15"/>
      <c r="J22" s="16" t="s">
        <v>33</v>
      </c>
      <c r="K22" s="17"/>
      <c r="L22" s="17"/>
      <c r="M22" s="17"/>
      <c r="N22" s="17"/>
      <c r="O22" s="17"/>
      <c r="P22" s="17"/>
      <c r="Q22" s="17"/>
      <c r="R22" s="17"/>
      <c r="S22" s="17"/>
      <c r="T22" s="17"/>
      <c r="U22" s="17"/>
      <c r="V22" s="17"/>
      <c r="W22" s="17"/>
      <c r="X22" s="17"/>
      <c r="Y22" s="17"/>
      <c r="Z22" s="17"/>
      <c r="AA22" s="17"/>
      <c r="AB22" s="17"/>
      <c r="AC22" s="17"/>
      <c r="AD22" s="17"/>
      <c r="AE22" s="17"/>
      <c r="AF22" s="22"/>
    </row>
    <row r="23" spans="1:45" s="2" customFormat="1" ht="22.15" customHeight="1" x14ac:dyDescent="0.2">
      <c r="A23" s="8"/>
      <c r="B23"/>
      <c r="C23" s="9"/>
      <c r="D23" s="9"/>
      <c r="E23" s="9"/>
      <c r="F23" s="9"/>
      <c r="G23" s="9"/>
      <c r="H23" s="10"/>
      <c r="I23" s="15"/>
      <c r="J23" s="18"/>
      <c r="K23" s="15"/>
      <c r="L23" s="15"/>
      <c r="M23" s="15"/>
      <c r="N23" s="15"/>
      <c r="O23" s="15"/>
      <c r="P23" s="15"/>
      <c r="Q23" s="15"/>
      <c r="R23" s="15"/>
      <c r="S23" s="15"/>
      <c r="T23" s="15"/>
      <c r="U23" s="15"/>
      <c r="V23" s="15"/>
      <c r="W23" s="15"/>
      <c r="X23" s="15"/>
      <c r="Y23" s="15"/>
      <c r="Z23" s="15"/>
      <c r="AA23" s="15"/>
      <c r="AB23" s="15"/>
      <c r="AC23" s="15"/>
      <c r="AD23" s="15"/>
      <c r="AE23" s="15"/>
      <c r="AF23" s="23"/>
    </row>
    <row r="24" spans="1:45" s="2" customFormat="1" ht="22.15" customHeight="1" x14ac:dyDescent="0.2">
      <c r="A24" s="8"/>
      <c r="B24"/>
      <c r="C24" s="9"/>
      <c r="D24" s="9"/>
      <c r="E24" s="9"/>
      <c r="F24" s="9"/>
      <c r="G24" s="9"/>
      <c r="H24" s="10"/>
      <c r="I24" s="15"/>
      <c r="J24" s="19"/>
      <c r="K24" s="15"/>
      <c r="L24" s="15"/>
      <c r="M24" s="15"/>
      <c r="N24" s="15"/>
      <c r="O24" s="15"/>
      <c r="P24" s="15"/>
      <c r="Q24" s="15"/>
      <c r="R24" s="15"/>
      <c r="S24" s="15"/>
      <c r="T24" s="15"/>
      <c r="U24" s="15"/>
      <c r="V24" s="15"/>
      <c r="W24" s="15"/>
      <c r="X24" s="15"/>
      <c r="Y24" s="15"/>
      <c r="Z24" s="15"/>
      <c r="AA24" s="15"/>
      <c r="AB24" s="15"/>
      <c r="AC24" s="15"/>
      <c r="AD24" s="15"/>
      <c r="AE24" s="15"/>
      <c r="AF24" s="23"/>
    </row>
    <row r="25" spans="1:45" s="2" customFormat="1" ht="22.15" customHeight="1" x14ac:dyDescent="0.2">
      <c r="A25" s="8"/>
      <c r="B25"/>
      <c r="C25" s="9"/>
      <c r="D25" s="9"/>
      <c r="E25" s="9"/>
      <c r="F25" s="9"/>
      <c r="G25" s="9"/>
      <c r="H25" s="10"/>
      <c r="I25" s="15"/>
      <c r="J25" s="18"/>
      <c r="K25" s="15"/>
      <c r="L25" s="15"/>
      <c r="M25" s="15"/>
      <c r="N25" s="15"/>
      <c r="O25" s="15"/>
      <c r="P25" s="15"/>
      <c r="Q25" s="15"/>
      <c r="R25" s="15"/>
      <c r="S25" s="15"/>
      <c r="T25" s="15"/>
      <c r="U25" s="15"/>
      <c r="V25" s="15"/>
      <c r="W25" s="15"/>
      <c r="X25" s="15"/>
      <c r="Y25" s="15"/>
      <c r="Z25" s="15"/>
      <c r="AA25" s="15"/>
      <c r="AB25" s="15"/>
      <c r="AC25" s="15"/>
      <c r="AD25" s="15"/>
      <c r="AE25" s="15"/>
      <c r="AF25" s="23"/>
    </row>
    <row r="26" spans="1:45" s="2" customFormat="1" ht="22.15" customHeight="1" x14ac:dyDescent="0.2">
      <c r="A26" s="8"/>
      <c r="B26"/>
      <c r="C26" s="9"/>
      <c r="D26" s="9"/>
      <c r="E26" s="9"/>
      <c r="F26" s="9"/>
      <c r="G26" s="9"/>
      <c r="H26" s="10"/>
      <c r="I26" s="15"/>
      <c r="J26" s="18"/>
      <c r="K26" s="15"/>
      <c r="L26" s="15"/>
      <c r="M26" s="15"/>
      <c r="N26" s="15"/>
      <c r="O26" s="15"/>
      <c r="P26" s="15"/>
      <c r="Q26" s="15"/>
      <c r="R26" s="15"/>
      <c r="S26" s="15"/>
      <c r="T26" s="15"/>
      <c r="U26" s="15"/>
      <c r="V26" s="15"/>
      <c r="W26" s="15"/>
      <c r="X26" s="15"/>
      <c r="Y26" s="15"/>
      <c r="Z26" s="15"/>
      <c r="AA26" s="15"/>
      <c r="AB26" s="15"/>
      <c r="AC26" s="15"/>
      <c r="AD26" s="15"/>
      <c r="AE26" s="15"/>
      <c r="AF26" s="23"/>
    </row>
    <row r="27" spans="1:45" s="2" customFormat="1" ht="22.15" customHeight="1" thickBot="1" x14ac:dyDescent="0.25">
      <c r="A27" s="11"/>
      <c r="B27" s="12"/>
      <c r="C27" s="13"/>
      <c r="D27" s="13"/>
      <c r="E27" s="13"/>
      <c r="F27" s="13"/>
      <c r="G27" s="13"/>
      <c r="H27" s="14"/>
      <c r="I27" s="15"/>
      <c r="J27" s="20"/>
      <c r="K27" s="21"/>
      <c r="L27" s="21"/>
      <c r="M27" s="21"/>
      <c r="N27" s="21"/>
      <c r="O27" s="21"/>
      <c r="P27" s="21"/>
      <c r="Q27" s="21"/>
      <c r="R27" s="21"/>
      <c r="S27" s="21"/>
      <c r="T27" s="21"/>
      <c r="U27" s="21"/>
      <c r="V27" s="21"/>
      <c r="W27" s="21"/>
      <c r="X27" s="21"/>
      <c r="Y27" s="21"/>
      <c r="Z27" s="21"/>
      <c r="AA27" s="21"/>
      <c r="AB27" s="21"/>
      <c r="AC27" s="21"/>
      <c r="AD27" s="21"/>
      <c r="AE27" s="21"/>
      <c r="AF27" s="24"/>
    </row>
    <row r="28" spans="1:45" s="2" customFormat="1" x14ac:dyDescent="0.2">
      <c r="A28"/>
      <c r="B28"/>
    </row>
    <row r="29" spans="1:45" x14ac:dyDescent="0.2">
      <c r="A29" s="27" t="s">
        <v>139</v>
      </c>
      <c r="B29" s="27" t="s">
        <v>127</v>
      </c>
      <c r="C29" s="27" t="s">
        <v>128</v>
      </c>
      <c r="D29" s="27" t="s">
        <v>129</v>
      </c>
      <c r="E29" s="27" t="s">
        <v>130</v>
      </c>
      <c r="F29" s="27" t="s">
        <v>131</v>
      </c>
      <c r="G29" s="27" t="s">
        <v>132</v>
      </c>
      <c r="H29" s="27" t="s">
        <v>133</v>
      </c>
      <c r="I29" s="27" t="s">
        <v>134</v>
      </c>
      <c r="J29" s="27" t="s">
        <v>135</v>
      </c>
      <c r="K29" s="27" t="s">
        <v>136</v>
      </c>
      <c r="L29" s="27" t="s">
        <v>137</v>
      </c>
      <c r="M29" s="27" t="s">
        <v>138</v>
      </c>
    </row>
    <row r="30" spans="1:45" x14ac:dyDescent="0.2">
      <c r="A30" t="s">
        <v>50</v>
      </c>
      <c r="B30">
        <v>1212750</v>
      </c>
      <c r="C30">
        <v>1131900</v>
      </c>
      <c r="D30">
        <v>1212750</v>
      </c>
      <c r="E30">
        <v>1148070</v>
      </c>
      <c r="F30">
        <v>1212750</v>
      </c>
      <c r="G30">
        <v>1212750</v>
      </c>
      <c r="H30">
        <v>1196580</v>
      </c>
      <c r="I30">
        <v>1212750</v>
      </c>
      <c r="J30">
        <v>1180410</v>
      </c>
      <c r="K30">
        <v>1212750</v>
      </c>
      <c r="L30">
        <v>1212750</v>
      </c>
      <c r="M30">
        <v>1350195</v>
      </c>
    </row>
    <row r="31" spans="1:45" x14ac:dyDescent="0.2">
      <c r="A31" t="s">
        <v>51</v>
      </c>
      <c r="B31">
        <v>4514816</v>
      </c>
      <c r="C31">
        <v>4109188</v>
      </c>
      <c r="D31">
        <v>4179732</v>
      </c>
      <c r="E31">
        <v>3906374</v>
      </c>
      <c r="F31">
        <v>4109188</v>
      </c>
      <c r="G31">
        <v>3994554</v>
      </c>
      <c r="H31">
        <v>4188550</v>
      </c>
      <c r="I31">
        <v>4241458</v>
      </c>
      <c r="J31">
        <v>4364910</v>
      </c>
      <c r="K31">
        <v>4109188</v>
      </c>
      <c r="L31">
        <v>3994554</v>
      </c>
      <c r="M31">
        <v>4259094</v>
      </c>
    </row>
    <row r="32" spans="1:45" x14ac:dyDescent="0.2">
      <c r="A32" t="s">
        <v>52</v>
      </c>
      <c r="B32">
        <v>1592745</v>
      </c>
      <c r="C32">
        <v>1617000</v>
      </c>
      <c r="D32">
        <v>1495725</v>
      </c>
      <c r="E32">
        <v>1164240</v>
      </c>
      <c r="F32">
        <v>1439130</v>
      </c>
      <c r="G32">
        <v>1463385</v>
      </c>
      <c r="H32">
        <v>1584660</v>
      </c>
      <c r="I32">
        <v>1641255</v>
      </c>
      <c r="J32">
        <v>1576575</v>
      </c>
      <c r="K32">
        <v>1487640</v>
      </c>
      <c r="L32">
        <v>1422960</v>
      </c>
      <c r="M32">
        <v>1447215</v>
      </c>
    </row>
    <row r="33" spans="1:13" x14ac:dyDescent="0.2">
      <c r="A33" t="s">
        <v>53</v>
      </c>
      <c r="B33">
        <v>2295000</v>
      </c>
      <c r="C33">
        <v>2295000</v>
      </c>
      <c r="D33">
        <v>2295000</v>
      </c>
      <c r="E33">
        <v>2295000</v>
      </c>
      <c r="F33">
        <v>2295000</v>
      </c>
      <c r="G33">
        <v>2295000</v>
      </c>
      <c r="H33">
        <v>2439500</v>
      </c>
      <c r="I33">
        <v>2397000</v>
      </c>
      <c r="J33">
        <v>2303500</v>
      </c>
      <c r="K33">
        <v>2295000</v>
      </c>
      <c r="L33">
        <v>2227000</v>
      </c>
      <c r="M33">
        <v>2320500</v>
      </c>
    </row>
    <row r="34" spans="1:13" x14ac:dyDescent="0.2">
      <c r="A34" t="s">
        <v>54</v>
      </c>
      <c r="B34">
        <v>400000</v>
      </c>
      <c r="C34">
        <v>500000</v>
      </c>
      <c r="D34">
        <v>600000</v>
      </c>
      <c r="E34">
        <v>700000</v>
      </c>
      <c r="F34">
        <v>800000</v>
      </c>
      <c r="G34">
        <v>900000</v>
      </c>
      <c r="H34">
        <v>1000000</v>
      </c>
      <c r="I34">
        <v>1100000</v>
      </c>
      <c r="J34">
        <v>1200000</v>
      </c>
      <c r="K34">
        <v>1300000</v>
      </c>
      <c r="L34">
        <v>1400000</v>
      </c>
      <c r="M34">
        <v>1500000</v>
      </c>
    </row>
    <row r="35" spans="1:13" ht="22" x14ac:dyDescent="0.2">
      <c r="A35" s="34" t="s">
        <v>55</v>
      </c>
      <c r="B35">
        <v>2225344</v>
      </c>
      <c r="C35">
        <v>1985544</v>
      </c>
      <c r="D35">
        <v>2033504</v>
      </c>
      <c r="E35">
        <v>2110240</v>
      </c>
      <c r="F35">
        <v>2110240</v>
      </c>
      <c r="G35">
        <v>2110240</v>
      </c>
      <c r="H35">
        <v>2155716</v>
      </c>
      <c r="I35">
        <v>2211228</v>
      </c>
      <c r="J35">
        <v>2201976</v>
      </c>
      <c r="K35">
        <v>2035440</v>
      </c>
      <c r="L35">
        <v>2035440</v>
      </c>
      <c r="M35">
        <v>2303748</v>
      </c>
    </row>
    <row r="36" spans="1:13" x14ac:dyDescent="0.2">
      <c r="A36" s="34" t="s">
        <v>56</v>
      </c>
      <c r="B36">
        <v>1290000</v>
      </c>
      <c r="C36">
        <v>1290000</v>
      </c>
      <c r="D36">
        <v>1290000</v>
      </c>
      <c r="E36">
        <v>1290000</v>
      </c>
      <c r="F36">
        <v>1290000</v>
      </c>
      <c r="G36">
        <v>1290000</v>
      </c>
      <c r="H36">
        <v>1290000</v>
      </c>
      <c r="I36">
        <v>1290000</v>
      </c>
      <c r="J36">
        <v>1298600</v>
      </c>
      <c r="K36">
        <v>1376000</v>
      </c>
      <c r="L36">
        <v>1376000</v>
      </c>
      <c r="M36">
        <v>1307200</v>
      </c>
    </row>
    <row r="37" spans="1:13" ht="22" x14ac:dyDescent="0.2">
      <c r="A37" s="34" t="s">
        <v>57</v>
      </c>
      <c r="B37">
        <v>1398704</v>
      </c>
      <c r="C37">
        <v>1260674</v>
      </c>
      <c r="D37">
        <v>1288280</v>
      </c>
      <c r="E37">
        <v>1131846</v>
      </c>
      <c r="F37">
        <v>1214664</v>
      </c>
      <c r="G37">
        <v>1260674</v>
      </c>
      <c r="H37">
        <v>1361896</v>
      </c>
      <c r="I37">
        <v>1058230</v>
      </c>
      <c r="J37">
        <v>1306684</v>
      </c>
      <c r="K37">
        <v>1159452</v>
      </c>
      <c r="L37">
        <v>1214664</v>
      </c>
      <c r="M37">
        <v>1187058</v>
      </c>
    </row>
    <row r="38" spans="1:13" ht="22" x14ac:dyDescent="0.2">
      <c r="A38" s="34" t="s">
        <v>58</v>
      </c>
      <c r="B38">
        <v>5810148</v>
      </c>
      <c r="C38">
        <v>5430636</v>
      </c>
      <c r="D38">
        <v>5638464</v>
      </c>
      <c r="E38">
        <v>5385456</v>
      </c>
      <c r="F38">
        <v>5213772</v>
      </c>
      <c r="G38">
        <v>5430636</v>
      </c>
      <c r="H38">
        <v>6027012</v>
      </c>
      <c r="I38">
        <v>6108336</v>
      </c>
      <c r="J38">
        <v>5783040</v>
      </c>
      <c r="K38">
        <v>5421600</v>
      </c>
      <c r="L38">
        <v>5421600</v>
      </c>
      <c r="M38">
        <v>5710752</v>
      </c>
    </row>
    <row r="39" spans="1:13" x14ac:dyDescent="0.2">
      <c r="A39" t="s">
        <v>59</v>
      </c>
      <c r="B39">
        <v>2074000</v>
      </c>
      <c r="C39">
        <v>2133500</v>
      </c>
      <c r="D39">
        <v>2252500</v>
      </c>
      <c r="E39">
        <v>2006000</v>
      </c>
      <c r="F39">
        <v>1972000</v>
      </c>
      <c r="G39">
        <v>2193000</v>
      </c>
      <c r="H39">
        <v>2167500</v>
      </c>
      <c r="I39">
        <v>2218500</v>
      </c>
      <c r="J39">
        <v>2482000</v>
      </c>
      <c r="K39">
        <v>2269500</v>
      </c>
      <c r="L39">
        <v>2278000</v>
      </c>
      <c r="M39">
        <v>2422500</v>
      </c>
    </row>
    <row r="40" spans="1:13" x14ac:dyDescent="0.2">
      <c r="A40" t="s">
        <v>60</v>
      </c>
      <c r="B40">
        <v>708260</v>
      </c>
      <c r="C40">
        <v>708260</v>
      </c>
      <c r="D40">
        <v>708260</v>
      </c>
      <c r="E40">
        <v>708260</v>
      </c>
      <c r="F40">
        <v>1001682</v>
      </c>
      <c r="G40">
        <v>1001682</v>
      </c>
      <c r="H40">
        <v>1001682</v>
      </c>
      <c r="I40">
        <v>1001682</v>
      </c>
      <c r="J40">
        <v>1001682</v>
      </c>
      <c r="K40">
        <v>1001682</v>
      </c>
      <c r="L40">
        <v>1001682</v>
      </c>
      <c r="M40">
        <v>1001682</v>
      </c>
    </row>
    <row r="41" spans="1:13" x14ac:dyDescent="0.2">
      <c r="A41" t="s">
        <v>61</v>
      </c>
      <c r="B41">
        <v>5693483</v>
      </c>
      <c r="C41">
        <v>4556853</v>
      </c>
      <c r="D41">
        <v>5125168</v>
      </c>
      <c r="E41">
        <v>5125168</v>
      </c>
      <c r="F41">
        <v>5404159</v>
      </c>
      <c r="G41">
        <v>5404159</v>
      </c>
      <c r="H41">
        <v>5693483</v>
      </c>
      <c r="I41">
        <v>5693483</v>
      </c>
      <c r="J41">
        <v>5125168</v>
      </c>
      <c r="K41">
        <v>5125168</v>
      </c>
      <c r="L41">
        <v>5125168</v>
      </c>
      <c r="M41">
        <v>5693483</v>
      </c>
    </row>
    <row r="42" spans="1:13" x14ac:dyDescent="0.2">
      <c r="A42" t="s">
        <v>62</v>
      </c>
      <c r="B42">
        <v>1585359</v>
      </c>
      <c r="C42">
        <v>1265310</v>
      </c>
      <c r="D42">
        <v>1429056</v>
      </c>
      <c r="E42">
        <v>1429056</v>
      </c>
      <c r="F42">
        <v>1503486</v>
      </c>
      <c r="G42">
        <v>1503486</v>
      </c>
      <c r="H42">
        <v>1585359</v>
      </c>
      <c r="I42">
        <v>1585359</v>
      </c>
      <c r="J42">
        <v>1429056</v>
      </c>
      <c r="K42">
        <v>1488600</v>
      </c>
      <c r="L42">
        <v>1488600</v>
      </c>
      <c r="M42">
        <v>1585359</v>
      </c>
    </row>
    <row r="43" spans="1:13" x14ac:dyDescent="0.2">
      <c r="A43" t="s">
        <v>63</v>
      </c>
      <c r="B43">
        <v>300000</v>
      </c>
      <c r="C43">
        <v>400000</v>
      </c>
      <c r="D43">
        <v>500000</v>
      </c>
      <c r="E43">
        <v>600000</v>
      </c>
      <c r="F43">
        <v>700000</v>
      </c>
      <c r="G43">
        <v>800000</v>
      </c>
      <c r="H43">
        <v>900000</v>
      </c>
      <c r="I43">
        <v>1000000</v>
      </c>
      <c r="J43">
        <v>1100000</v>
      </c>
      <c r="K43">
        <v>1200000</v>
      </c>
      <c r="L43">
        <v>1300000</v>
      </c>
      <c r="M43">
        <v>1400000</v>
      </c>
    </row>
    <row r="44" spans="1:13" x14ac:dyDescent="0.2">
      <c r="A44" t="s">
        <v>64</v>
      </c>
      <c r="B44">
        <v>2745080</v>
      </c>
      <c r="C44">
        <v>2006020</v>
      </c>
      <c r="D44">
        <v>2745080</v>
      </c>
      <c r="E44">
        <v>2745080</v>
      </c>
      <c r="F44">
        <v>2745080</v>
      </c>
      <c r="G44">
        <v>2745080</v>
      </c>
      <c r="H44">
        <v>2745080</v>
      </c>
      <c r="I44">
        <v>2745080</v>
      </c>
      <c r="J44">
        <v>2745080</v>
      </c>
      <c r="K44">
        <v>2745080</v>
      </c>
      <c r="L44">
        <v>2745080</v>
      </c>
      <c r="M44">
        <v>2745080</v>
      </c>
    </row>
    <row r="45" spans="1:13" x14ac:dyDescent="0.2">
      <c r="A45" t="s">
        <v>65</v>
      </c>
      <c r="B45">
        <v>1906560</v>
      </c>
      <c r="C45">
        <v>1529220</v>
      </c>
      <c r="D45">
        <v>1717890</v>
      </c>
      <c r="E45">
        <v>1717890</v>
      </c>
      <c r="F45">
        <v>1807260</v>
      </c>
      <c r="G45">
        <v>1807260</v>
      </c>
      <c r="H45">
        <v>1906560</v>
      </c>
      <c r="I45">
        <v>1906560</v>
      </c>
      <c r="J45">
        <v>1717890</v>
      </c>
      <c r="K45">
        <v>1717890</v>
      </c>
      <c r="L45">
        <v>1717890</v>
      </c>
      <c r="M45">
        <v>1906560</v>
      </c>
    </row>
    <row r="46" spans="1:13" x14ac:dyDescent="0.2">
      <c r="A46" t="s">
        <v>66</v>
      </c>
      <c r="B46">
        <v>2374520</v>
      </c>
      <c r="C46">
        <v>2374520</v>
      </c>
      <c r="D46">
        <v>2374520</v>
      </c>
      <c r="E46">
        <v>2374520</v>
      </c>
      <c r="F46">
        <v>2374520</v>
      </c>
      <c r="G46">
        <v>2374520</v>
      </c>
      <c r="H46">
        <v>2374520</v>
      </c>
      <c r="I46">
        <v>2374520</v>
      </c>
      <c r="J46">
        <v>2374520</v>
      </c>
      <c r="K46">
        <v>2374520</v>
      </c>
      <c r="L46">
        <v>2374520</v>
      </c>
      <c r="M46">
        <v>2374520</v>
      </c>
    </row>
    <row r="47" spans="1:13" x14ac:dyDescent="0.2">
      <c r="A47" t="s">
        <v>67</v>
      </c>
      <c r="B47">
        <v>3302370</v>
      </c>
      <c r="C47">
        <v>2641896</v>
      </c>
      <c r="D47">
        <v>2976210</v>
      </c>
      <c r="E47">
        <v>2976210</v>
      </c>
      <c r="F47">
        <v>3139290</v>
      </c>
      <c r="G47">
        <v>3139290</v>
      </c>
      <c r="H47">
        <v>3302370</v>
      </c>
      <c r="I47">
        <v>3302370</v>
      </c>
      <c r="J47">
        <v>2976210</v>
      </c>
      <c r="K47">
        <v>2976210</v>
      </c>
      <c r="L47">
        <v>2976210</v>
      </c>
      <c r="M47">
        <v>3302370</v>
      </c>
    </row>
    <row r="48" spans="1:13" x14ac:dyDescent="0.2">
      <c r="A48" t="s">
        <v>68</v>
      </c>
      <c r="B48">
        <v>1385368</v>
      </c>
      <c r="C48">
        <v>1323600</v>
      </c>
      <c r="D48">
        <v>1244184</v>
      </c>
      <c r="E48">
        <v>1244184</v>
      </c>
      <c r="F48">
        <v>1314776</v>
      </c>
      <c r="G48">
        <v>1314776</v>
      </c>
      <c r="H48">
        <v>1385368</v>
      </c>
      <c r="I48">
        <v>1385368</v>
      </c>
      <c r="J48">
        <v>1323600</v>
      </c>
      <c r="K48">
        <v>1323600</v>
      </c>
      <c r="L48">
        <v>1323600</v>
      </c>
      <c r="M48">
        <v>1385368</v>
      </c>
    </row>
    <row r="49" spans="1:13" x14ac:dyDescent="0.2">
      <c r="A49" t="s">
        <v>69</v>
      </c>
      <c r="B49">
        <v>4165284</v>
      </c>
      <c r="C49">
        <v>3336706</v>
      </c>
      <c r="D49">
        <v>3750995</v>
      </c>
      <c r="E49">
        <v>3750995</v>
      </c>
      <c r="F49">
        <v>3952541</v>
      </c>
      <c r="G49">
        <v>3952541</v>
      </c>
      <c r="H49">
        <v>4165284</v>
      </c>
      <c r="I49">
        <v>4165284</v>
      </c>
      <c r="J49">
        <v>3750995</v>
      </c>
      <c r="K49">
        <v>3750995</v>
      </c>
      <c r="L49">
        <v>3750995</v>
      </c>
      <c r="M49">
        <v>4165284</v>
      </c>
    </row>
    <row r="50" spans="1:13" x14ac:dyDescent="0.2">
      <c r="A50" t="s">
        <v>70</v>
      </c>
      <c r="B50">
        <v>2899314</v>
      </c>
      <c r="C50">
        <v>2323356</v>
      </c>
      <c r="D50">
        <v>2606454</v>
      </c>
      <c r="E50">
        <v>2606454</v>
      </c>
      <c r="F50">
        <v>2752884</v>
      </c>
      <c r="G50">
        <v>2752884</v>
      </c>
      <c r="H50">
        <v>2899314</v>
      </c>
      <c r="I50">
        <v>2899314</v>
      </c>
      <c r="J50">
        <v>2606454</v>
      </c>
      <c r="K50">
        <v>2606454</v>
      </c>
      <c r="L50">
        <v>2606454</v>
      </c>
      <c r="M50">
        <v>2899314</v>
      </c>
    </row>
    <row r="51" spans="1:13" x14ac:dyDescent="0.2">
      <c r="A51" t="s">
        <v>71</v>
      </c>
      <c r="B51">
        <v>1794249</v>
      </c>
      <c r="C51">
        <v>1439454</v>
      </c>
      <c r="D51">
        <v>1611783</v>
      </c>
      <c r="E51">
        <v>1611783</v>
      </c>
      <c r="F51">
        <v>1703016</v>
      </c>
      <c r="G51">
        <v>1703016</v>
      </c>
      <c r="H51">
        <v>1794249</v>
      </c>
      <c r="I51">
        <v>1794249</v>
      </c>
      <c r="J51">
        <v>1611783</v>
      </c>
      <c r="K51">
        <v>1611783</v>
      </c>
      <c r="L51">
        <v>1611783</v>
      </c>
      <c r="M51">
        <v>1794249</v>
      </c>
    </row>
    <row r="52" spans="1:13" x14ac:dyDescent="0.2">
      <c r="A52" t="s">
        <v>72</v>
      </c>
      <c r="B52">
        <v>1029470</v>
      </c>
      <c r="C52">
        <v>791900</v>
      </c>
      <c r="D52">
        <v>950280</v>
      </c>
      <c r="E52">
        <v>1069065</v>
      </c>
      <c r="F52">
        <v>1069065</v>
      </c>
      <c r="G52">
        <v>1148255</v>
      </c>
      <c r="H52">
        <v>1267040</v>
      </c>
      <c r="I52">
        <v>1267040</v>
      </c>
      <c r="J52">
        <v>1140336</v>
      </c>
      <c r="K52">
        <v>1140336</v>
      </c>
      <c r="L52">
        <v>1140336</v>
      </c>
      <c r="M52">
        <v>1140336</v>
      </c>
    </row>
    <row r="53" spans="1:13" x14ac:dyDescent="0.2">
      <c r="A53" t="s">
        <v>73</v>
      </c>
      <c r="B53">
        <v>3601400</v>
      </c>
      <c r="C53">
        <v>3617770</v>
      </c>
      <c r="D53">
        <v>3601400</v>
      </c>
      <c r="E53">
        <v>3601400</v>
      </c>
      <c r="F53">
        <v>3601400</v>
      </c>
      <c r="G53">
        <v>3601400</v>
      </c>
      <c r="H53">
        <v>3601400</v>
      </c>
      <c r="I53">
        <v>3601400</v>
      </c>
      <c r="J53">
        <v>3601400</v>
      </c>
      <c r="K53">
        <v>3601400</v>
      </c>
      <c r="L53">
        <v>3601400</v>
      </c>
      <c r="M53">
        <v>3601400</v>
      </c>
    </row>
    <row r="54" spans="1:13" x14ac:dyDescent="0.2">
      <c r="A54" t="s">
        <v>74</v>
      </c>
      <c r="B54">
        <v>6054066</v>
      </c>
      <c r="C54">
        <v>4841343</v>
      </c>
      <c r="D54">
        <v>5452479</v>
      </c>
      <c r="E54">
        <v>5452479</v>
      </c>
      <c r="F54">
        <v>5748498</v>
      </c>
      <c r="G54">
        <v>5748498</v>
      </c>
      <c r="H54">
        <v>6054066</v>
      </c>
      <c r="I54">
        <v>6054066</v>
      </c>
      <c r="J54">
        <v>5452479</v>
      </c>
      <c r="K54">
        <v>5452479</v>
      </c>
      <c r="L54">
        <v>5452479</v>
      </c>
      <c r="M54">
        <v>6054066</v>
      </c>
    </row>
    <row r="55" spans="1:13" x14ac:dyDescent="0.2">
      <c r="A55" t="s">
        <v>75</v>
      </c>
      <c r="B55">
        <v>1320330</v>
      </c>
      <c r="C55">
        <v>1056264</v>
      </c>
      <c r="D55">
        <v>1160290</v>
      </c>
      <c r="E55">
        <v>1200300</v>
      </c>
      <c r="F55">
        <v>1256314</v>
      </c>
      <c r="G55">
        <v>1424356</v>
      </c>
      <c r="H55">
        <v>1584396</v>
      </c>
      <c r="I55">
        <v>1584396</v>
      </c>
      <c r="J55">
        <v>1360340</v>
      </c>
      <c r="K55">
        <v>1120280</v>
      </c>
      <c r="L55">
        <v>1200300</v>
      </c>
      <c r="M55">
        <v>1280320</v>
      </c>
    </row>
    <row r="56" spans="1:13" x14ac:dyDescent="0.2">
      <c r="A56" t="s">
        <v>76</v>
      </c>
      <c r="D56">
        <v>200000</v>
      </c>
      <c r="E56">
        <v>300000</v>
      </c>
      <c r="F56">
        <v>400000</v>
      </c>
      <c r="G56">
        <v>500000</v>
      </c>
      <c r="H56">
        <v>600000</v>
      </c>
      <c r="I56">
        <v>700000</v>
      </c>
      <c r="J56">
        <v>800000</v>
      </c>
      <c r="K56">
        <v>900000</v>
      </c>
      <c r="L56">
        <v>1000000</v>
      </c>
      <c r="M56">
        <v>1100000</v>
      </c>
    </row>
    <row r="57" spans="1:13" x14ac:dyDescent="0.2">
      <c r="A57" t="s">
        <v>77</v>
      </c>
      <c r="B57">
        <v>1720355</v>
      </c>
      <c r="C57">
        <v>1374555</v>
      </c>
      <c r="D57">
        <v>1547455</v>
      </c>
      <c r="E57">
        <v>1547455</v>
      </c>
      <c r="F57">
        <v>1633905</v>
      </c>
      <c r="G57">
        <v>1633905</v>
      </c>
      <c r="H57">
        <v>1720355</v>
      </c>
      <c r="I57">
        <v>1720355</v>
      </c>
      <c r="J57">
        <v>1547455</v>
      </c>
      <c r="K57">
        <v>1547455</v>
      </c>
      <c r="L57">
        <v>1547455</v>
      </c>
      <c r="M57">
        <v>1720355</v>
      </c>
    </row>
    <row r="58" spans="1:13" x14ac:dyDescent="0.2">
      <c r="A58" t="s">
        <v>78</v>
      </c>
      <c r="B58">
        <v>1215393</v>
      </c>
      <c r="C58">
        <v>1223550</v>
      </c>
      <c r="D58">
        <v>1223550</v>
      </c>
      <c r="E58">
        <v>1223550</v>
      </c>
      <c r="F58">
        <v>1223550</v>
      </c>
      <c r="G58">
        <v>1223550</v>
      </c>
      <c r="H58">
        <v>1215393</v>
      </c>
      <c r="I58">
        <v>1215393</v>
      </c>
      <c r="J58">
        <v>1223550</v>
      </c>
      <c r="K58">
        <v>1223550</v>
      </c>
      <c r="L58">
        <v>1386690</v>
      </c>
      <c r="M58">
        <v>1386690</v>
      </c>
    </row>
    <row r="59" spans="1:13" x14ac:dyDescent="0.2">
      <c r="A59" t="s">
        <v>79</v>
      </c>
      <c r="B59">
        <v>1039800</v>
      </c>
      <c r="C59">
        <v>1005140</v>
      </c>
      <c r="D59">
        <v>1135115</v>
      </c>
      <c r="E59">
        <v>1135115</v>
      </c>
      <c r="F59">
        <v>1195770</v>
      </c>
      <c r="G59">
        <v>1195770</v>
      </c>
      <c r="H59">
        <v>1256425</v>
      </c>
      <c r="I59">
        <v>1256425</v>
      </c>
      <c r="J59">
        <v>823175</v>
      </c>
      <c r="K59">
        <v>883830</v>
      </c>
      <c r="L59">
        <v>892495</v>
      </c>
      <c r="M59">
        <v>1256425</v>
      </c>
    </row>
    <row r="60" spans="1:13" x14ac:dyDescent="0.2">
      <c r="A60" t="s">
        <v>80</v>
      </c>
      <c r="B60">
        <v>3517150</v>
      </c>
      <c r="C60">
        <v>2813720</v>
      </c>
      <c r="D60">
        <v>3170846</v>
      </c>
      <c r="E60">
        <v>3170846</v>
      </c>
      <c r="F60">
        <v>3343998</v>
      </c>
      <c r="G60">
        <v>3343998</v>
      </c>
      <c r="H60">
        <v>3517150</v>
      </c>
      <c r="I60">
        <v>3517150</v>
      </c>
      <c r="J60">
        <v>3170846</v>
      </c>
      <c r="K60">
        <v>3170846</v>
      </c>
      <c r="L60">
        <v>3170846</v>
      </c>
      <c r="M60">
        <v>3517150</v>
      </c>
    </row>
    <row r="61" spans="1:13" x14ac:dyDescent="0.2">
      <c r="A61" t="s">
        <v>81</v>
      </c>
      <c r="B61">
        <v>2552319</v>
      </c>
      <c r="C61">
        <v>2400300</v>
      </c>
      <c r="D61">
        <v>2400300</v>
      </c>
      <c r="E61">
        <v>2400300</v>
      </c>
      <c r="F61">
        <v>2424303</v>
      </c>
      <c r="G61">
        <v>2424303</v>
      </c>
      <c r="H61">
        <v>2552319</v>
      </c>
      <c r="I61">
        <v>2552319</v>
      </c>
      <c r="J61">
        <v>2400300</v>
      </c>
      <c r="K61">
        <v>2400300</v>
      </c>
      <c r="L61">
        <v>2400300</v>
      </c>
      <c r="M61">
        <v>2552319</v>
      </c>
    </row>
    <row r="62" spans="1:13" x14ac:dyDescent="0.2">
      <c r="A62" t="s">
        <v>82</v>
      </c>
      <c r="B62">
        <v>1722480</v>
      </c>
      <c r="C62">
        <v>1722480</v>
      </c>
      <c r="D62">
        <v>1722480</v>
      </c>
      <c r="E62">
        <v>1722480</v>
      </c>
      <c r="F62">
        <v>1722480</v>
      </c>
      <c r="G62">
        <v>1722480</v>
      </c>
      <c r="H62">
        <v>1722480</v>
      </c>
      <c r="I62">
        <v>1722480</v>
      </c>
      <c r="J62">
        <v>1722480</v>
      </c>
      <c r="K62">
        <v>1722480</v>
      </c>
      <c r="L62">
        <v>1722480</v>
      </c>
      <c r="M62">
        <v>1722480</v>
      </c>
    </row>
    <row r="63" spans="1:13" x14ac:dyDescent="0.2">
      <c r="A63" t="s">
        <v>83</v>
      </c>
      <c r="B63">
        <v>1584906</v>
      </c>
      <c r="C63">
        <v>1533780</v>
      </c>
      <c r="D63">
        <v>1533780</v>
      </c>
      <c r="E63">
        <v>1533780</v>
      </c>
      <c r="F63">
        <v>1533780</v>
      </c>
      <c r="G63">
        <v>1533780</v>
      </c>
      <c r="H63">
        <v>1584906</v>
      </c>
      <c r="I63">
        <v>1584906</v>
      </c>
      <c r="J63">
        <v>1618990</v>
      </c>
      <c r="K63">
        <v>1618990</v>
      </c>
      <c r="L63">
        <v>1533780</v>
      </c>
      <c r="M63">
        <v>1584906</v>
      </c>
    </row>
    <row r="64" spans="1:13" x14ac:dyDescent="0.2">
      <c r="A64" t="s">
        <v>84</v>
      </c>
      <c r="B64">
        <v>1769090</v>
      </c>
      <c r="C64">
        <v>1769090</v>
      </c>
      <c r="D64">
        <v>1769090</v>
      </c>
      <c r="E64">
        <v>1769090</v>
      </c>
      <c r="F64">
        <v>1769090</v>
      </c>
      <c r="G64">
        <v>1769090</v>
      </c>
      <c r="H64">
        <v>1769090</v>
      </c>
      <c r="I64">
        <v>1769090</v>
      </c>
      <c r="J64">
        <v>1769090</v>
      </c>
      <c r="K64">
        <v>1769090</v>
      </c>
      <c r="L64">
        <v>1769090</v>
      </c>
      <c r="M64">
        <v>1769090</v>
      </c>
    </row>
    <row r="65" spans="1:13" x14ac:dyDescent="0.2">
      <c r="A65" t="s">
        <v>85</v>
      </c>
      <c r="B65">
        <v>2027800</v>
      </c>
      <c r="C65">
        <v>1622240</v>
      </c>
      <c r="D65">
        <v>1825020</v>
      </c>
      <c r="E65">
        <v>1825020</v>
      </c>
      <c r="F65">
        <v>1926410</v>
      </c>
      <c r="G65">
        <v>1926410</v>
      </c>
      <c r="H65">
        <v>2027800</v>
      </c>
      <c r="I65">
        <v>2027800</v>
      </c>
      <c r="J65">
        <v>1825020</v>
      </c>
      <c r="K65">
        <v>1470155</v>
      </c>
      <c r="L65">
        <v>1672935</v>
      </c>
      <c r="M65">
        <v>2027800</v>
      </c>
    </row>
    <row r="66" spans="1:13" x14ac:dyDescent="0.2">
      <c r="A66" t="s">
        <v>86</v>
      </c>
      <c r="B66">
        <v>1312200</v>
      </c>
      <c r="C66">
        <v>1125900</v>
      </c>
      <c r="D66">
        <v>1271700</v>
      </c>
      <c r="E66">
        <v>1255500</v>
      </c>
      <c r="F66">
        <v>1312200</v>
      </c>
      <c r="G66">
        <v>1328400</v>
      </c>
      <c r="H66">
        <v>1522800</v>
      </c>
      <c r="I66">
        <v>1522800</v>
      </c>
      <c r="J66">
        <v>1368900</v>
      </c>
      <c r="K66">
        <v>1368900</v>
      </c>
      <c r="L66">
        <v>1336500</v>
      </c>
      <c r="M66">
        <v>1522800</v>
      </c>
    </row>
    <row r="67" spans="1:13" x14ac:dyDescent="0.2">
      <c r="A67" t="s">
        <v>87</v>
      </c>
      <c r="B67">
        <v>5001248</v>
      </c>
      <c r="C67">
        <v>4002720</v>
      </c>
      <c r="D67">
        <v>4501984</v>
      </c>
      <c r="E67">
        <v>4501984</v>
      </c>
      <c r="F67">
        <v>4751616</v>
      </c>
      <c r="G67">
        <v>4751616</v>
      </c>
      <c r="H67">
        <v>5001248</v>
      </c>
      <c r="I67">
        <v>5001248</v>
      </c>
      <c r="J67">
        <v>4501984</v>
      </c>
      <c r="K67">
        <v>4501984</v>
      </c>
      <c r="L67">
        <v>4501984</v>
      </c>
      <c r="M67">
        <v>5001248</v>
      </c>
    </row>
    <row r="68" spans="1:13" x14ac:dyDescent="0.2">
      <c r="A68" t="s">
        <v>88</v>
      </c>
      <c r="B68">
        <v>1359040</v>
      </c>
      <c r="C68">
        <v>1087232</v>
      </c>
      <c r="D68">
        <v>1227520</v>
      </c>
      <c r="E68">
        <v>1227520</v>
      </c>
      <c r="F68">
        <v>1288896</v>
      </c>
      <c r="G68">
        <v>1288896</v>
      </c>
      <c r="H68">
        <v>1359040</v>
      </c>
      <c r="I68">
        <v>1359040</v>
      </c>
      <c r="J68">
        <v>1227520</v>
      </c>
      <c r="K68">
        <v>1227520</v>
      </c>
      <c r="L68">
        <v>1227520</v>
      </c>
      <c r="M68">
        <v>1359040</v>
      </c>
    </row>
    <row r="69" spans="1:13" x14ac:dyDescent="0.2">
      <c r="A69" t="s">
        <v>89</v>
      </c>
      <c r="B69">
        <v>1012770</v>
      </c>
      <c r="C69">
        <v>810216</v>
      </c>
      <c r="D69">
        <v>915244</v>
      </c>
      <c r="E69">
        <v>915244</v>
      </c>
      <c r="F69">
        <v>960256</v>
      </c>
      <c r="G69">
        <v>960256</v>
      </c>
      <c r="H69">
        <v>1012770</v>
      </c>
      <c r="I69">
        <v>1012770</v>
      </c>
      <c r="J69">
        <v>915244</v>
      </c>
      <c r="K69">
        <v>915244</v>
      </c>
      <c r="L69">
        <v>915244</v>
      </c>
      <c r="M69">
        <v>1012770</v>
      </c>
    </row>
    <row r="70" spans="1:13" x14ac:dyDescent="0.2">
      <c r="A70" t="s">
        <v>90</v>
      </c>
      <c r="B70">
        <v>2539520</v>
      </c>
      <c r="C70">
        <v>2380800</v>
      </c>
      <c r="D70">
        <v>2380800</v>
      </c>
      <c r="E70">
        <v>2380800</v>
      </c>
      <c r="F70">
        <v>2412544</v>
      </c>
      <c r="G70">
        <v>2412544</v>
      </c>
      <c r="H70">
        <v>2539520</v>
      </c>
      <c r="I70">
        <v>2539520</v>
      </c>
      <c r="J70">
        <v>2380800</v>
      </c>
      <c r="K70">
        <v>2380800</v>
      </c>
      <c r="L70">
        <v>2460160</v>
      </c>
      <c r="M70">
        <v>2539520</v>
      </c>
    </row>
    <row r="71" spans="1:13" x14ac:dyDescent="0.2">
      <c r="A71" t="s">
        <v>91</v>
      </c>
      <c r="B71">
        <v>853380</v>
      </c>
      <c r="C71">
        <v>853380</v>
      </c>
      <c r="D71">
        <v>853380</v>
      </c>
      <c r="E71">
        <v>853380</v>
      </c>
      <c r="F71">
        <v>853380</v>
      </c>
      <c r="G71">
        <v>1008540</v>
      </c>
      <c r="H71">
        <v>1086120</v>
      </c>
      <c r="I71">
        <v>1163700</v>
      </c>
      <c r="J71">
        <v>1163700</v>
      </c>
      <c r="K71">
        <v>1163700</v>
      </c>
      <c r="L71">
        <v>1163700</v>
      </c>
      <c r="M71">
        <v>1163700</v>
      </c>
    </row>
    <row r="72" spans="1:13" x14ac:dyDescent="0.2">
      <c r="A72" t="s">
        <v>92</v>
      </c>
      <c r="B72">
        <v>300000</v>
      </c>
      <c r="C72">
        <v>400000</v>
      </c>
      <c r="D72">
        <v>500000</v>
      </c>
      <c r="E72">
        <v>600000</v>
      </c>
      <c r="F72">
        <v>700000</v>
      </c>
      <c r="G72">
        <v>800000</v>
      </c>
      <c r="H72">
        <v>900000</v>
      </c>
      <c r="I72">
        <v>1000000</v>
      </c>
      <c r="J72">
        <v>1100000</v>
      </c>
      <c r="K72">
        <v>1200000</v>
      </c>
      <c r="L72">
        <v>1300000</v>
      </c>
      <c r="M72">
        <v>1400000</v>
      </c>
    </row>
    <row r="73" spans="1:13" x14ac:dyDescent="0.2">
      <c r="A73" t="s">
        <v>93</v>
      </c>
      <c r="B73">
        <v>200000</v>
      </c>
      <c r="C73">
        <v>300000</v>
      </c>
      <c r="D73">
        <v>400000</v>
      </c>
      <c r="E73">
        <v>500000</v>
      </c>
      <c r="F73">
        <v>600000</v>
      </c>
      <c r="G73">
        <v>700000</v>
      </c>
      <c r="H73">
        <v>800000</v>
      </c>
      <c r="I73">
        <v>900000</v>
      </c>
      <c r="J73">
        <v>1000000</v>
      </c>
      <c r="K73">
        <v>1000000</v>
      </c>
      <c r="L73">
        <v>1100000</v>
      </c>
      <c r="M73">
        <v>1200000</v>
      </c>
    </row>
    <row r="74" spans="1:13" x14ac:dyDescent="0.2">
      <c r="A74" t="s">
        <v>94</v>
      </c>
      <c r="B74">
        <v>6001359</v>
      </c>
      <c r="C74">
        <v>5588310</v>
      </c>
      <c r="D74">
        <v>5685498</v>
      </c>
      <c r="E74">
        <v>5434429</v>
      </c>
      <c r="F74">
        <v>4980885</v>
      </c>
      <c r="G74">
        <v>5304845</v>
      </c>
      <c r="H74">
        <v>5766488</v>
      </c>
      <c r="I74">
        <v>6333418</v>
      </c>
      <c r="J74">
        <v>5685498</v>
      </c>
      <c r="K74">
        <v>5936567</v>
      </c>
      <c r="L74">
        <v>5377736</v>
      </c>
      <c r="M74">
        <v>6325319</v>
      </c>
    </row>
    <row r="75" spans="1:13" x14ac:dyDescent="0.2">
      <c r="A75" t="s">
        <v>95</v>
      </c>
      <c r="B75">
        <v>2150895</v>
      </c>
      <c r="C75">
        <v>1765998</v>
      </c>
      <c r="D75">
        <v>2015049</v>
      </c>
      <c r="E75">
        <v>1615058</v>
      </c>
      <c r="F75">
        <v>1690528</v>
      </c>
      <c r="G75">
        <v>1803733</v>
      </c>
      <c r="H75">
        <v>2082972</v>
      </c>
      <c r="I75">
        <v>2075425</v>
      </c>
      <c r="J75">
        <v>1984861</v>
      </c>
      <c r="K75">
        <v>1954673</v>
      </c>
      <c r="L75">
        <v>1864109</v>
      </c>
      <c r="M75">
        <v>2045237</v>
      </c>
    </row>
    <row r="76" spans="1:13" x14ac:dyDescent="0.2">
      <c r="A76" t="s">
        <v>96</v>
      </c>
      <c r="B76">
        <v>1925300</v>
      </c>
      <c r="C76">
        <v>1851250</v>
      </c>
      <c r="D76">
        <v>1925300</v>
      </c>
      <c r="E76">
        <v>1925300</v>
      </c>
      <c r="F76">
        <v>1925300</v>
      </c>
      <c r="G76">
        <v>1925300</v>
      </c>
      <c r="H76">
        <v>1925300</v>
      </c>
      <c r="I76">
        <v>1925300</v>
      </c>
      <c r="J76">
        <v>1925300</v>
      </c>
      <c r="K76">
        <v>1925300</v>
      </c>
      <c r="L76">
        <v>1925300</v>
      </c>
      <c r="M76">
        <v>1925300</v>
      </c>
    </row>
    <row r="77" spans="1:13" x14ac:dyDescent="0.2">
      <c r="A77" t="s">
        <v>97</v>
      </c>
      <c r="B77">
        <v>1571712</v>
      </c>
      <c r="C77">
        <v>1317946</v>
      </c>
      <c r="D77">
        <v>1309760</v>
      </c>
      <c r="E77">
        <v>1195156</v>
      </c>
      <c r="F77">
        <v>1178784</v>
      </c>
      <c r="G77">
        <v>1203342</v>
      </c>
      <c r="H77">
        <v>1350690</v>
      </c>
      <c r="I77">
        <v>1522596</v>
      </c>
      <c r="J77">
        <v>1538968</v>
      </c>
      <c r="K77">
        <v>1391620</v>
      </c>
      <c r="L77">
        <v>1342504</v>
      </c>
      <c r="M77">
        <v>1268830</v>
      </c>
    </row>
    <row r="78" spans="1:13" x14ac:dyDescent="0.2">
      <c r="A78" t="s">
        <v>98</v>
      </c>
      <c r="B78">
        <v>3168572</v>
      </c>
      <c r="C78">
        <v>2806184</v>
      </c>
      <c r="D78">
        <v>3112820</v>
      </c>
      <c r="E78">
        <v>2778308</v>
      </c>
      <c r="F78">
        <v>2852644</v>
      </c>
      <c r="G78">
        <v>2964148</v>
      </c>
      <c r="H78">
        <v>3363704</v>
      </c>
      <c r="I78">
        <v>3475208</v>
      </c>
      <c r="J78">
        <v>3419456</v>
      </c>
      <c r="K78">
        <v>2852644</v>
      </c>
      <c r="L78">
        <v>2611052</v>
      </c>
      <c r="M78">
        <v>3317244</v>
      </c>
    </row>
    <row r="79" spans="1:13" x14ac:dyDescent="0.2">
      <c r="A79" t="s">
        <v>99</v>
      </c>
      <c r="B79">
        <v>2350350</v>
      </c>
      <c r="C79">
        <v>2350350</v>
      </c>
      <c r="D79">
        <v>2350350</v>
      </c>
      <c r="E79">
        <v>2350350</v>
      </c>
      <c r="F79">
        <v>2350350</v>
      </c>
      <c r="G79">
        <v>2350350</v>
      </c>
      <c r="H79">
        <v>2393875</v>
      </c>
      <c r="I79">
        <v>2350350</v>
      </c>
      <c r="J79">
        <v>2332940</v>
      </c>
      <c r="K79">
        <v>2350350</v>
      </c>
      <c r="L79">
        <v>2350350</v>
      </c>
      <c r="M79">
        <v>2332940</v>
      </c>
    </row>
    <row r="80" spans="1:13" x14ac:dyDescent="0.2">
      <c r="A80" t="s">
        <v>100</v>
      </c>
      <c r="B80">
        <v>1000000</v>
      </c>
      <c r="C80">
        <v>1000000</v>
      </c>
      <c r="D80">
        <v>1000000</v>
      </c>
      <c r="E80">
        <v>1000000</v>
      </c>
      <c r="F80">
        <v>1000000</v>
      </c>
      <c r="G80">
        <v>1000000</v>
      </c>
      <c r="H80">
        <v>1000000</v>
      </c>
      <c r="I80">
        <v>1000000</v>
      </c>
      <c r="J80">
        <v>1000000</v>
      </c>
      <c r="K80">
        <v>1000000</v>
      </c>
      <c r="L80">
        <v>1000000</v>
      </c>
      <c r="M80">
        <v>1000000</v>
      </c>
    </row>
    <row r="81" spans="1:13" x14ac:dyDescent="0.2">
      <c r="A81" t="s">
        <v>101</v>
      </c>
      <c r="B81">
        <v>1420520</v>
      </c>
      <c r="C81">
        <v>1420520</v>
      </c>
      <c r="D81">
        <v>1420520</v>
      </c>
      <c r="E81">
        <v>1420520</v>
      </c>
      <c r="F81">
        <v>1420520</v>
      </c>
      <c r="G81">
        <v>1420520</v>
      </c>
      <c r="H81">
        <v>1420520</v>
      </c>
      <c r="I81">
        <v>1420520</v>
      </c>
      <c r="J81">
        <v>1420520</v>
      </c>
      <c r="K81">
        <v>1420520</v>
      </c>
      <c r="L81">
        <v>1420520</v>
      </c>
      <c r="M81">
        <v>1420520</v>
      </c>
    </row>
    <row r="82" spans="1:13" x14ac:dyDescent="0.2">
      <c r="A82" t="s">
        <v>102</v>
      </c>
      <c r="B82">
        <v>2722300</v>
      </c>
      <c r="C82">
        <v>2722300</v>
      </c>
      <c r="D82">
        <v>2722300</v>
      </c>
      <c r="E82">
        <v>2722300</v>
      </c>
      <c r="F82">
        <v>2722300</v>
      </c>
      <c r="G82">
        <v>2722300</v>
      </c>
      <c r="H82">
        <v>2722300</v>
      </c>
      <c r="I82">
        <v>2722300</v>
      </c>
      <c r="J82">
        <v>2722300</v>
      </c>
      <c r="K82">
        <v>2722300</v>
      </c>
      <c r="L82">
        <v>2722300</v>
      </c>
      <c r="M82">
        <v>2722300</v>
      </c>
    </row>
    <row r="83" spans="1:13" x14ac:dyDescent="0.2">
      <c r="A83" t="s">
        <v>103</v>
      </c>
      <c r="B83">
        <v>1025202</v>
      </c>
      <c r="C83">
        <v>1079160</v>
      </c>
      <c r="D83">
        <v>1079160</v>
      </c>
      <c r="E83">
        <v>800377</v>
      </c>
      <c r="F83">
        <v>1079160</v>
      </c>
      <c r="G83">
        <v>1160097</v>
      </c>
      <c r="H83">
        <v>1214055</v>
      </c>
      <c r="I83">
        <v>1393915</v>
      </c>
      <c r="J83">
        <v>1007216</v>
      </c>
      <c r="K83">
        <v>1016209</v>
      </c>
      <c r="L83">
        <v>1016209</v>
      </c>
      <c r="M83">
        <v>1016209</v>
      </c>
    </row>
    <row r="84" spans="1:13" x14ac:dyDescent="0.2">
      <c r="A84" t="s">
        <v>104</v>
      </c>
      <c r="B84">
        <v>1854720</v>
      </c>
      <c r="C84">
        <v>1854720</v>
      </c>
      <c r="D84">
        <v>1854720</v>
      </c>
      <c r="E84">
        <v>1854720</v>
      </c>
      <c r="F84">
        <v>1854720</v>
      </c>
      <c r="G84">
        <v>1854720</v>
      </c>
      <c r="H84">
        <v>1854720</v>
      </c>
      <c r="I84">
        <v>1854720</v>
      </c>
      <c r="J84">
        <v>1854720</v>
      </c>
      <c r="K84">
        <v>1854720</v>
      </c>
      <c r="L84">
        <v>1854720</v>
      </c>
      <c r="M84">
        <v>1854720</v>
      </c>
    </row>
    <row r="85" spans="1:13" x14ac:dyDescent="0.2">
      <c r="A85" t="s">
        <v>105</v>
      </c>
      <c r="B85">
        <v>400000</v>
      </c>
      <c r="C85">
        <v>500000</v>
      </c>
      <c r="D85">
        <v>600000</v>
      </c>
      <c r="E85">
        <v>700000</v>
      </c>
      <c r="F85">
        <v>800000</v>
      </c>
      <c r="G85">
        <v>900000</v>
      </c>
      <c r="H85">
        <v>1000000</v>
      </c>
      <c r="I85">
        <v>1100000</v>
      </c>
      <c r="J85">
        <v>1200000</v>
      </c>
      <c r="K85">
        <v>1300000</v>
      </c>
      <c r="L85">
        <v>1400000</v>
      </c>
      <c r="M85">
        <v>1500000</v>
      </c>
    </row>
    <row r="86" spans="1:13" x14ac:dyDescent="0.2">
      <c r="A86" t="s">
        <v>106</v>
      </c>
      <c r="B86">
        <v>1522170</v>
      </c>
      <c r="C86">
        <v>1303602</v>
      </c>
      <c r="D86">
        <v>1358244</v>
      </c>
      <c r="E86">
        <v>1217736</v>
      </c>
      <c r="F86">
        <v>1248960</v>
      </c>
      <c r="G86">
        <v>1241154</v>
      </c>
      <c r="H86">
        <v>1303602</v>
      </c>
      <c r="I86">
        <v>1436304</v>
      </c>
      <c r="J86">
        <v>1436304</v>
      </c>
      <c r="K86">
        <v>1248960</v>
      </c>
      <c r="L86">
        <v>1248960</v>
      </c>
      <c r="M86">
        <v>1303602</v>
      </c>
    </row>
    <row r="87" spans="1:13" x14ac:dyDescent="0.2">
      <c r="A87" t="s">
        <v>107</v>
      </c>
      <c r="B87">
        <v>1000000</v>
      </c>
      <c r="C87">
        <v>1000000</v>
      </c>
      <c r="D87">
        <v>1000000</v>
      </c>
      <c r="E87">
        <v>1000000</v>
      </c>
      <c r="F87">
        <v>1000000</v>
      </c>
      <c r="G87">
        <v>1000000</v>
      </c>
      <c r="H87">
        <v>1000000</v>
      </c>
      <c r="I87">
        <v>1000000</v>
      </c>
      <c r="J87">
        <v>1000000</v>
      </c>
      <c r="K87">
        <v>1000000</v>
      </c>
      <c r="L87">
        <v>1000000</v>
      </c>
      <c r="M87">
        <v>1000000</v>
      </c>
    </row>
    <row r="88" spans="1:13" x14ac:dyDescent="0.2">
      <c r="A88" t="s">
        <v>108</v>
      </c>
      <c r="B88">
        <v>4252320</v>
      </c>
      <c r="C88">
        <v>4213552</v>
      </c>
      <c r="D88">
        <v>4597908</v>
      </c>
      <c r="E88">
        <v>4386480</v>
      </c>
      <c r="F88">
        <v>4122000</v>
      </c>
      <c r="G88">
        <v>4113200</v>
      </c>
      <c r="H88">
        <v>4170896</v>
      </c>
      <c r="I88">
        <v>4199118</v>
      </c>
      <c r="J88">
        <v>4180596</v>
      </c>
      <c r="K88">
        <v>4173246</v>
      </c>
      <c r="L88">
        <v>4218516</v>
      </c>
      <c r="M88">
        <v>4569170</v>
      </c>
    </row>
    <row r="89" spans="1:13" x14ac:dyDescent="0.2">
      <c r="A89" t="s">
        <v>109</v>
      </c>
      <c r="B89">
        <v>1001000</v>
      </c>
      <c r="C89">
        <v>1001000</v>
      </c>
      <c r="D89">
        <v>1001000</v>
      </c>
      <c r="E89">
        <v>1001000</v>
      </c>
      <c r="F89">
        <v>1001000</v>
      </c>
      <c r="G89">
        <v>1001000</v>
      </c>
      <c r="H89">
        <v>1001000</v>
      </c>
      <c r="I89">
        <v>1001000</v>
      </c>
      <c r="J89">
        <v>1001000</v>
      </c>
      <c r="K89">
        <v>1001000</v>
      </c>
      <c r="L89">
        <v>1001000</v>
      </c>
      <c r="M89">
        <v>1001000</v>
      </c>
    </row>
    <row r="90" spans="1:13" x14ac:dyDescent="0.2">
      <c r="A90" t="s">
        <v>110</v>
      </c>
      <c r="B90">
        <v>2150460</v>
      </c>
      <c r="C90">
        <v>2076142</v>
      </c>
      <c r="D90">
        <v>2423425</v>
      </c>
      <c r="E90">
        <v>2194560</v>
      </c>
      <c r="F90">
        <v>2232930</v>
      </c>
      <c r="G90">
        <v>2222478</v>
      </c>
      <c r="H90">
        <v>2190980</v>
      </c>
      <c r="I90">
        <v>2282840</v>
      </c>
      <c r="J90">
        <v>2176445</v>
      </c>
      <c r="K90">
        <v>2254000</v>
      </c>
      <c r="L90">
        <v>2097828</v>
      </c>
      <c r="M90">
        <v>2305205</v>
      </c>
    </row>
    <row r="91" spans="1:13" x14ac:dyDescent="0.2">
      <c r="A91" t="s">
        <v>111</v>
      </c>
      <c r="B91">
        <v>1838995</v>
      </c>
      <c r="C91">
        <v>1668515</v>
      </c>
      <c r="D91">
        <v>1832342</v>
      </c>
      <c r="E91">
        <v>1677858</v>
      </c>
      <c r="F91">
        <v>2032825</v>
      </c>
      <c r="G91">
        <v>1627411</v>
      </c>
      <c r="H91">
        <v>1709100</v>
      </c>
      <c r="I91">
        <v>1923425</v>
      </c>
      <c r="J91">
        <v>1707300</v>
      </c>
      <c r="K91">
        <v>1812597</v>
      </c>
      <c r="L91">
        <v>1709100</v>
      </c>
      <c r="M91">
        <v>1823040</v>
      </c>
    </row>
    <row r="92" spans="1:13" x14ac:dyDescent="0.2">
      <c r="A92" t="s">
        <v>112</v>
      </c>
      <c r="B92">
        <v>1612080</v>
      </c>
      <c r="C92">
        <v>1567440</v>
      </c>
      <c r="D92">
        <v>1611900</v>
      </c>
      <c r="E92">
        <v>1634400</v>
      </c>
      <c r="F92">
        <v>1612080</v>
      </c>
      <c r="G92">
        <v>1620360</v>
      </c>
      <c r="H92">
        <v>1612080</v>
      </c>
      <c r="I92">
        <v>1612080</v>
      </c>
      <c r="J92">
        <v>1612080</v>
      </c>
      <c r="K92">
        <v>1612080</v>
      </c>
      <c r="L92">
        <v>1612080</v>
      </c>
      <c r="M92">
        <v>1612080</v>
      </c>
    </row>
    <row r="93" spans="1:13" x14ac:dyDescent="0.2">
      <c r="A93" t="s">
        <v>113</v>
      </c>
      <c r="B93">
        <v>1941508</v>
      </c>
      <c r="C93">
        <v>1583443</v>
      </c>
      <c r="D93">
        <v>1779400</v>
      </c>
      <c r="E93">
        <v>1701657</v>
      </c>
      <c r="F93">
        <v>1806239</v>
      </c>
      <c r="G93">
        <v>1798282</v>
      </c>
      <c r="H93">
        <v>1698564</v>
      </c>
      <c r="I93">
        <v>1943400</v>
      </c>
      <c r="J93">
        <v>1667540</v>
      </c>
      <c r="K93">
        <v>1613456</v>
      </c>
      <c r="L93">
        <v>1667755</v>
      </c>
      <c r="M93">
        <v>2024577</v>
      </c>
    </row>
    <row r="94" spans="1:13" x14ac:dyDescent="0.2">
      <c r="A94" t="s">
        <v>114</v>
      </c>
      <c r="B94">
        <v>2030190</v>
      </c>
      <c r="C94">
        <v>1822986</v>
      </c>
      <c r="D94">
        <v>2020200</v>
      </c>
      <c r="E94">
        <v>1876042</v>
      </c>
      <c r="F94">
        <v>2094610</v>
      </c>
      <c r="G94">
        <v>1904199</v>
      </c>
      <c r="H94">
        <v>1885598</v>
      </c>
      <c r="I94">
        <v>2125200</v>
      </c>
      <c r="J94">
        <v>1856472</v>
      </c>
      <c r="K94">
        <v>1906170</v>
      </c>
      <c r="L94">
        <v>1931532</v>
      </c>
      <c r="M94">
        <v>2033421</v>
      </c>
    </row>
    <row r="95" spans="1:13" x14ac:dyDescent="0.2">
      <c r="A95" t="s">
        <v>115</v>
      </c>
      <c r="B95">
        <v>3742132</v>
      </c>
      <c r="C95">
        <v>3693690</v>
      </c>
      <c r="D95">
        <v>3760393</v>
      </c>
      <c r="E95">
        <v>3666780</v>
      </c>
      <c r="F95">
        <v>3836016</v>
      </c>
      <c r="G95">
        <v>3696278</v>
      </c>
      <c r="H95">
        <v>3774050</v>
      </c>
      <c r="I95">
        <v>3824575</v>
      </c>
      <c r="J95">
        <v>3600000</v>
      </c>
      <c r="K95">
        <v>3660210</v>
      </c>
      <c r="L95">
        <v>3596000</v>
      </c>
      <c r="M95">
        <v>3936410</v>
      </c>
    </row>
    <row r="96" spans="1:13" x14ac:dyDescent="0.2">
      <c r="A96" t="s">
        <v>116</v>
      </c>
      <c r="B96">
        <v>1117800</v>
      </c>
      <c r="C96">
        <v>1050450</v>
      </c>
      <c r="D96">
        <v>1102896</v>
      </c>
      <c r="E96">
        <v>1035828</v>
      </c>
      <c r="F96">
        <v>1125248</v>
      </c>
      <c r="G96">
        <v>1110348</v>
      </c>
      <c r="H96">
        <v>1110348</v>
      </c>
      <c r="I96">
        <v>1155060</v>
      </c>
      <c r="J96">
        <v>1006020</v>
      </c>
      <c r="K96">
        <v>1013472</v>
      </c>
      <c r="L96">
        <v>1102304</v>
      </c>
      <c r="M96">
        <v>1152909</v>
      </c>
    </row>
    <row r="97" spans="1:13" x14ac:dyDescent="0.2">
      <c r="A97" t="s">
        <v>117</v>
      </c>
      <c r="B97">
        <v>1119300</v>
      </c>
      <c r="C97">
        <v>1119000</v>
      </c>
      <c r="D97">
        <v>1223440</v>
      </c>
      <c r="E97">
        <v>1134000</v>
      </c>
      <c r="F97">
        <v>1186140</v>
      </c>
      <c r="G97">
        <v>1119000</v>
      </c>
      <c r="H97">
        <v>1230900</v>
      </c>
      <c r="I97">
        <v>1167450</v>
      </c>
      <c r="J97">
        <v>1134000</v>
      </c>
      <c r="K97">
        <v>1134000</v>
      </c>
      <c r="L97">
        <v>1134000</v>
      </c>
      <c r="M97">
        <v>1230150</v>
      </c>
    </row>
    <row r="98" spans="1:13" x14ac:dyDescent="0.2">
      <c r="A98" t="s">
        <v>118</v>
      </c>
      <c r="B98">
        <v>5458992</v>
      </c>
      <c r="C98">
        <v>5388096</v>
      </c>
      <c r="D98">
        <v>5428608</v>
      </c>
      <c r="E98">
        <v>4618368</v>
      </c>
      <c r="F98">
        <v>4577856</v>
      </c>
      <c r="G98">
        <v>4061328</v>
      </c>
      <c r="H98">
        <v>4628496</v>
      </c>
      <c r="I98">
        <v>4861440</v>
      </c>
      <c r="J98">
        <v>4436064</v>
      </c>
      <c r="K98">
        <v>5357712</v>
      </c>
      <c r="L98">
        <v>5074128</v>
      </c>
      <c r="M98">
        <v>6157824</v>
      </c>
    </row>
    <row r="99" spans="1:13" x14ac:dyDescent="0.2">
      <c r="A99" t="s">
        <v>119</v>
      </c>
      <c r="B99">
        <v>2281284</v>
      </c>
      <c r="C99">
        <v>2065360</v>
      </c>
      <c r="D99">
        <v>2065360</v>
      </c>
      <c r="E99">
        <v>2065360</v>
      </c>
      <c r="F99">
        <v>2065360</v>
      </c>
      <c r="G99">
        <v>2065360</v>
      </c>
      <c r="H99">
        <v>2065360</v>
      </c>
      <c r="I99">
        <v>2065360</v>
      </c>
      <c r="J99">
        <v>2065360</v>
      </c>
      <c r="K99">
        <v>2065360</v>
      </c>
      <c r="L99">
        <v>2065360</v>
      </c>
      <c r="M99">
        <v>2065360</v>
      </c>
    </row>
    <row r="100" spans="1:13" x14ac:dyDescent="0.2">
      <c r="A100" t="s">
        <v>120</v>
      </c>
      <c r="B100">
        <v>1009200</v>
      </c>
      <c r="C100">
        <v>1096200</v>
      </c>
      <c r="D100">
        <v>1104900</v>
      </c>
      <c r="E100">
        <v>1087500</v>
      </c>
      <c r="F100">
        <v>974400</v>
      </c>
      <c r="G100">
        <v>913500</v>
      </c>
      <c r="H100">
        <v>1009200</v>
      </c>
      <c r="I100">
        <v>1078800</v>
      </c>
      <c r="J100">
        <v>1078800</v>
      </c>
      <c r="K100">
        <v>1191900</v>
      </c>
      <c r="L100">
        <v>1122300</v>
      </c>
      <c r="M100">
        <v>1313700</v>
      </c>
    </row>
    <row r="101" spans="1:13" x14ac:dyDescent="0.2">
      <c r="A101" t="s">
        <v>121</v>
      </c>
      <c r="B101">
        <v>1498602</v>
      </c>
      <c r="C101">
        <v>1530830</v>
      </c>
      <c r="D101">
        <v>1297177</v>
      </c>
      <c r="E101">
        <v>1168265</v>
      </c>
      <c r="F101">
        <v>1200493</v>
      </c>
      <c r="G101">
        <v>1256892</v>
      </c>
      <c r="H101">
        <v>1321348</v>
      </c>
      <c r="I101">
        <v>1305234</v>
      </c>
      <c r="J101">
        <v>1442203</v>
      </c>
      <c r="K101">
        <v>1716141</v>
      </c>
      <c r="L101">
        <v>1377747</v>
      </c>
      <c r="M101">
        <v>1667799</v>
      </c>
    </row>
    <row r="102" spans="1:13" x14ac:dyDescent="0.2">
      <c r="A102" t="s">
        <v>122</v>
      </c>
      <c r="B102">
        <v>1072904</v>
      </c>
      <c r="C102">
        <v>1025570</v>
      </c>
      <c r="D102">
        <v>1025570</v>
      </c>
      <c r="E102">
        <v>1025570</v>
      </c>
      <c r="F102">
        <v>1025570</v>
      </c>
      <c r="G102">
        <v>1025570</v>
      </c>
      <c r="H102">
        <v>1025570</v>
      </c>
      <c r="I102">
        <v>1025570</v>
      </c>
      <c r="J102">
        <v>1049237</v>
      </c>
      <c r="K102">
        <v>1025570</v>
      </c>
      <c r="L102">
        <v>1191239</v>
      </c>
      <c r="M102">
        <v>1301685</v>
      </c>
    </row>
    <row r="103" spans="1:13" x14ac:dyDescent="0.2">
      <c r="A103" t="s">
        <v>123</v>
      </c>
      <c r="B103">
        <v>1269318</v>
      </c>
      <c r="C103">
        <v>1419069</v>
      </c>
      <c r="D103">
        <v>1376283</v>
      </c>
      <c r="E103">
        <v>1426200</v>
      </c>
      <c r="F103">
        <v>1369152</v>
      </c>
      <c r="G103">
        <v>1190877</v>
      </c>
      <c r="H103">
        <v>1312104</v>
      </c>
      <c r="I103">
        <v>1362021</v>
      </c>
      <c r="J103">
        <v>1440462</v>
      </c>
      <c r="K103">
        <v>1319235</v>
      </c>
      <c r="L103">
        <v>1190877</v>
      </c>
      <c r="M103">
        <v>1533165</v>
      </c>
    </row>
    <row r="104" spans="1:13" x14ac:dyDescent="0.2">
      <c r="A104" t="s">
        <v>124</v>
      </c>
      <c r="B104">
        <v>1555840</v>
      </c>
      <c r="C104">
        <v>1555840</v>
      </c>
      <c r="D104">
        <v>1555840</v>
      </c>
      <c r="E104">
        <v>1555840</v>
      </c>
      <c r="F104">
        <v>1555840</v>
      </c>
      <c r="G104">
        <v>1555840</v>
      </c>
      <c r="H104">
        <v>1555840</v>
      </c>
      <c r="I104">
        <v>1555840</v>
      </c>
      <c r="J104">
        <v>1555840</v>
      </c>
      <c r="K104">
        <v>1555840</v>
      </c>
      <c r="L104">
        <v>1555840</v>
      </c>
      <c r="M104">
        <v>1612416</v>
      </c>
    </row>
    <row r="105" spans="1:13" x14ac:dyDescent="0.2">
      <c r="A105" t="s">
        <v>125</v>
      </c>
      <c r="B105">
        <v>1317330</v>
      </c>
      <c r="C105">
        <v>1317330</v>
      </c>
      <c r="D105">
        <v>1317330</v>
      </c>
      <c r="E105">
        <v>1317330</v>
      </c>
      <c r="F105">
        <v>1317330</v>
      </c>
      <c r="G105">
        <v>1317330</v>
      </c>
      <c r="H105">
        <v>1317330</v>
      </c>
      <c r="I105">
        <v>1317330</v>
      </c>
      <c r="J105">
        <v>1317330</v>
      </c>
      <c r="K105">
        <v>1317330</v>
      </c>
      <c r="L105">
        <v>1317330</v>
      </c>
      <c r="M105">
        <v>1317330</v>
      </c>
    </row>
    <row r="106" spans="1:13" x14ac:dyDescent="0.2">
      <c r="A106" t="s">
        <v>126</v>
      </c>
      <c r="B106">
        <v>1267920</v>
      </c>
      <c r="C106">
        <v>1267920</v>
      </c>
      <c r="D106">
        <v>1267920</v>
      </c>
      <c r="E106">
        <v>1267920</v>
      </c>
      <c r="F106">
        <v>1267920</v>
      </c>
      <c r="G106">
        <v>1267920</v>
      </c>
      <c r="H106">
        <v>1267920</v>
      </c>
      <c r="I106">
        <v>1267920</v>
      </c>
      <c r="J106">
        <v>1267920</v>
      </c>
      <c r="K106">
        <v>1267920</v>
      </c>
      <c r="L106">
        <v>1267920</v>
      </c>
      <c r="M106">
        <v>1267920</v>
      </c>
    </row>
    <row r="107" spans="1:13" x14ac:dyDescent="0.2">
      <c r="E107">
        <f>SUM(E30:E106)</f>
        <v>150067346</v>
      </c>
    </row>
  </sheetData>
  <mergeCells count="132">
    <mergeCell ref="AC2:AF4"/>
    <mergeCell ref="A5:A20"/>
    <mergeCell ref="B5:B8"/>
    <mergeCell ref="C5:E8"/>
    <mergeCell ref="F5:G8"/>
    <mergeCell ref="H5:I8"/>
    <mergeCell ref="J5:J6"/>
    <mergeCell ref="K5:K6"/>
    <mergeCell ref="C2:E4"/>
    <mergeCell ref="F2:G4"/>
    <mergeCell ref="H2:I4"/>
    <mergeCell ref="J2:T4"/>
    <mergeCell ref="U2:V4"/>
    <mergeCell ref="W2:X4"/>
    <mergeCell ref="T7:T8"/>
    <mergeCell ref="L5:L6"/>
    <mergeCell ref="M5:M6"/>
    <mergeCell ref="N5:N6"/>
    <mergeCell ref="O5:O6"/>
    <mergeCell ref="P5:P6"/>
    <mergeCell ref="Q5:Q6"/>
    <mergeCell ref="Y2:Z4"/>
    <mergeCell ref="AA2:AB4"/>
    <mergeCell ref="B9:B12"/>
    <mergeCell ref="C9:E12"/>
    <mergeCell ref="F9:G12"/>
    <mergeCell ref="H9:I12"/>
    <mergeCell ref="J9:J10"/>
    <mergeCell ref="K9:K10"/>
    <mergeCell ref="AA5:AB20"/>
    <mergeCell ref="AC5:AF8"/>
    <mergeCell ref="J7:J8"/>
    <mergeCell ref="K7:K8"/>
    <mergeCell ref="L7:L8"/>
    <mergeCell ref="M7:M8"/>
    <mergeCell ref="N7:N8"/>
    <mergeCell ref="O7:O8"/>
    <mergeCell ref="P7:P8"/>
    <mergeCell ref="Q7:Q8"/>
    <mergeCell ref="R5:R6"/>
    <mergeCell ref="S5:S6"/>
    <mergeCell ref="T5:T6"/>
    <mergeCell ref="U5:V8"/>
    <mergeCell ref="W5:X8"/>
    <mergeCell ref="Y5:Z8"/>
    <mergeCell ref="R7:R8"/>
    <mergeCell ref="S7:S8"/>
    <mergeCell ref="AC9:AF12"/>
    <mergeCell ref="J11:J12"/>
    <mergeCell ref="K11:K12"/>
    <mergeCell ref="L11:L12"/>
    <mergeCell ref="M11:M12"/>
    <mergeCell ref="N11:N12"/>
    <mergeCell ref="O11:O12"/>
    <mergeCell ref="P11:P12"/>
    <mergeCell ref="Q11:Q12"/>
    <mergeCell ref="R11:R12"/>
    <mergeCell ref="R9:R10"/>
    <mergeCell ref="S9:S10"/>
    <mergeCell ref="T9:T10"/>
    <mergeCell ref="U9:V12"/>
    <mergeCell ref="W9:X12"/>
    <mergeCell ref="Y9:Z12"/>
    <mergeCell ref="S11:S12"/>
    <mergeCell ref="T11:T12"/>
    <mergeCell ref="L9:L10"/>
    <mergeCell ref="M9:M10"/>
    <mergeCell ref="N9:N10"/>
    <mergeCell ref="O9:O10"/>
    <mergeCell ref="P9:P10"/>
    <mergeCell ref="Q9:Q10"/>
    <mergeCell ref="T15:T16"/>
    <mergeCell ref="L13:L14"/>
    <mergeCell ref="M13:M14"/>
    <mergeCell ref="N13:N14"/>
    <mergeCell ref="O13:O14"/>
    <mergeCell ref="P13:P14"/>
    <mergeCell ref="Q13:Q14"/>
    <mergeCell ref="B13:B16"/>
    <mergeCell ref="C13:E16"/>
    <mergeCell ref="F13:G16"/>
    <mergeCell ref="H13:I16"/>
    <mergeCell ref="J13:J14"/>
    <mergeCell ref="K13:K14"/>
    <mergeCell ref="Q17:Q18"/>
    <mergeCell ref="B17:B20"/>
    <mergeCell ref="C17:E20"/>
    <mergeCell ref="F17:G20"/>
    <mergeCell ref="H17:I20"/>
    <mergeCell ref="J17:J18"/>
    <mergeCell ref="K17:K18"/>
    <mergeCell ref="AC13:AF16"/>
    <mergeCell ref="J15:J16"/>
    <mergeCell ref="K15:K16"/>
    <mergeCell ref="L15:L16"/>
    <mergeCell ref="M15:M16"/>
    <mergeCell ref="N15:N16"/>
    <mergeCell ref="O15:O16"/>
    <mergeCell ref="P15:P16"/>
    <mergeCell ref="Q15:Q16"/>
    <mergeCell ref="R15:R16"/>
    <mergeCell ref="R13:R14"/>
    <mergeCell ref="S13:S14"/>
    <mergeCell ref="T13:T14"/>
    <mergeCell ref="U13:V16"/>
    <mergeCell ref="W13:X16"/>
    <mergeCell ref="Y13:Z16"/>
    <mergeCell ref="S15:S16"/>
    <mergeCell ref="A2:B2"/>
    <mergeCell ref="AC17:AF20"/>
    <mergeCell ref="J19:J20"/>
    <mergeCell ref="K19:K20"/>
    <mergeCell ref="L19:L20"/>
    <mergeCell ref="M19:M20"/>
    <mergeCell ref="N19:N20"/>
    <mergeCell ref="O19:O20"/>
    <mergeCell ref="P19:P20"/>
    <mergeCell ref="Q19:Q20"/>
    <mergeCell ref="R19:R20"/>
    <mergeCell ref="R17:R18"/>
    <mergeCell ref="S17:S18"/>
    <mergeCell ref="T17:T18"/>
    <mergeCell ref="U17:V20"/>
    <mergeCell ref="W17:X20"/>
    <mergeCell ref="Y17:Z20"/>
    <mergeCell ref="S19:S20"/>
    <mergeCell ref="T19:T20"/>
    <mergeCell ref="L17:L18"/>
    <mergeCell ref="M17:M18"/>
    <mergeCell ref="N17:N18"/>
    <mergeCell ref="O17:O18"/>
    <mergeCell ref="P17:P18"/>
  </mergeCells>
  <phoneticPr fontId="22"/>
  <conditionalFormatting sqref="W5:W6">
    <cfRule type="cellIs" dxfId="0" priority="1" stopIfTrue="1" operator="equal">
      <formula>0</formula>
    </cfRule>
  </conditionalFormatting>
  <pageMargins left="0.74803149606299213" right="0.74803149606299213" top="1.7716535433070868" bottom="0.98425196850393704" header="0.51181102362204722" footer="0.51181102362204722"/>
  <pageSetup paperSize="9" scale="45"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メンバー</vt:lpstr>
      <vt:lpstr>ブロック長 </vt:lpstr>
      <vt:lpstr>エリマネ </vt:lpstr>
      <vt:lpstr>部長 </vt:lpstr>
      <vt:lpstr>'エリマネ '!Print_Area</vt:lpstr>
      <vt:lpstr>'ブロック長 '!Print_Area</vt:lpstr>
      <vt:lpstr>'部長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公男 佐藤</cp:lastModifiedBy>
  <cp:lastPrinted>2026-05-13T04:54:11Z</cp:lastPrinted>
  <dcterms:created xsi:type="dcterms:W3CDTF">2025-12-25T11:27:00Z</dcterms:created>
  <dcterms:modified xsi:type="dcterms:W3CDTF">2026-06-28T01:26:47Z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1B8072E680AF40FBB1A05AB4BA6B7503</vt:lpwstr>
  </property>
  <property fmtid="{D5CDD505-2E9C-101B-9397-08002B2CF9AE}" pid="3" name="KSOProductBuildVer">
    <vt:lpwstr>1041-11.2.0.10707</vt:lpwstr>
  </property>
</Properties>
</file>