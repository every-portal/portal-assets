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Z:\Users\羽石晋\Desktop\評価制度\2026評価制度\"/>
    </mc:Choice>
  </mc:AlternateContent>
  <xr:revisionPtr revIDLastSave="0" documentId="13_ncr:1_{71C3DF5C-9229-4D68-A58E-7C7F9B572B66}" xr6:coauthVersionLast="47" xr6:coauthVersionMax="47" xr10:uidLastSave="{00000000-0000-0000-0000-000000000000}"/>
  <bookViews>
    <workbookView xWindow="-110" yWindow="-110" windowWidth="19420" windowHeight="10300" firstSheet="1" activeTab="5" xr2:uid="{00000000-000D-0000-FFFF-FFFF00000000}"/>
  </bookViews>
  <sheets>
    <sheet name="運用ルール " sheetId="27" r:id="rId1"/>
    <sheet name="等級表 " sheetId="29" r:id="rId2"/>
    <sheet name="変動ピッチ　獲得ポイント" sheetId="14" r:id="rId3"/>
    <sheet name="給与テーブル1 " sheetId="7" r:id="rId4"/>
    <sheet name="給与テーブル2" sheetId="8" r:id="rId5"/>
    <sheet name="インセンティブ" sheetId="18" r:id="rId6"/>
    <sheet name="賞与絶対査定給与テーブル1" sheetId="15" r:id="rId7"/>
    <sheet name="賞与絶対査定給与テーブル2" sheetId="16" r:id="rId8"/>
    <sheet name="手当" sheetId="9" r:id="rId9"/>
  </sheets>
  <externalReferences>
    <externalReference r:id="rId10"/>
    <externalReference r:id="rId11"/>
    <externalReference r:id="rId12"/>
  </externalReferences>
  <definedNames>
    <definedName name="AAA">#REF!</definedName>
    <definedName name="infra" localSheetId="0">[1]data!$J$8:$U$207</definedName>
    <definedName name="infra" localSheetId="2">[2]data!$J$8:$U$207</definedName>
    <definedName name="infra">[3]data!$J$8:$U$207</definedName>
    <definedName name="_xlnm.Print_Area" localSheetId="8">手当!$A$1:$I$20</definedName>
    <definedName name="_xlnm.Print_Area" localSheetId="1">'等級表 '!$A$1:$BR$39</definedName>
    <definedName name="_xlnm.Print_Area" localSheetId="2">'変動ピッチ　獲得ポイント'!$A$1:$G$23</definedName>
    <definedName name="summary" localSheetId="0">[1]data!$A$8:$H$207</definedName>
    <definedName name="summary" localSheetId="2">[2]data!$A$8:$H$207</definedName>
    <definedName name="summary">[3]data!$A$8:$H$207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 i="16" l="1"/>
  <c r="I17" i="16"/>
  <c r="I16" i="16"/>
  <c r="I15" i="16"/>
  <c r="I14" i="16"/>
  <c r="I11" i="16"/>
  <c r="I13" i="16" s="1"/>
  <c r="I10" i="16"/>
  <c r="I9" i="16"/>
  <c r="I8" i="16"/>
  <c r="I7" i="16"/>
  <c r="I6" i="16"/>
  <c r="I5" i="16"/>
  <c r="I4" i="16"/>
  <c r="AP23" i="8"/>
  <c r="AP24" i="8" s="1"/>
  <c r="AQ22" i="8"/>
  <c r="AR22" i="8" s="1"/>
  <c r="AS22" i="8" s="1"/>
  <c r="AT22" i="8" s="1"/>
  <c r="AP21" i="8"/>
  <c r="AQ21" i="8" s="1"/>
  <c r="AR21" i="8" s="1"/>
  <c r="AS21" i="8" s="1"/>
  <c r="AT21" i="8" s="1"/>
  <c r="AQ23" i="8" l="1"/>
  <c r="AR23" i="8" s="1"/>
  <c r="AS23" i="8" s="1"/>
  <c r="AT23" i="8" s="1"/>
  <c r="AP20" i="8"/>
  <c r="AQ20" i="8" s="1"/>
  <c r="AR20" i="8" s="1"/>
  <c r="AS20" i="8" s="1"/>
  <c r="AT20" i="8" s="1"/>
  <c r="AP25" i="8"/>
  <c r="AQ24" i="8"/>
  <c r="AR24" i="8" s="1"/>
  <c r="AS24" i="8" s="1"/>
  <c r="AT24" i="8" s="1"/>
  <c r="AP19" i="8"/>
  <c r="D6" i="9"/>
  <c r="H18" i="16"/>
  <c r="D18" i="16"/>
  <c r="E18" i="16"/>
  <c r="F18" i="16"/>
  <c r="G18" i="16"/>
  <c r="C18" i="16"/>
  <c r="D18" i="15"/>
  <c r="E18" i="15"/>
  <c r="F18" i="15"/>
  <c r="G18" i="15"/>
  <c r="C18" i="15"/>
  <c r="AS19" i="8" l="1"/>
  <c r="AT19" i="8" s="1"/>
  <c r="AP18" i="8"/>
  <c r="AQ19" i="8"/>
  <c r="AR19" i="8" s="1"/>
  <c r="AP26" i="8"/>
  <c r="AQ25" i="8"/>
  <c r="AR25" i="8" s="1"/>
  <c r="AS25" i="8" s="1"/>
  <c r="AT25" i="8" s="1"/>
  <c r="AQ26" i="8" l="1"/>
  <c r="AR26" i="8" s="1"/>
  <c r="AS26" i="8" s="1"/>
  <c r="AT26" i="8" s="1"/>
  <c r="AP27" i="8"/>
  <c r="AQ18" i="8"/>
  <c r="AR18" i="8" s="1"/>
  <c r="AS18" i="8" s="1"/>
  <c r="AT18" i="8" s="1"/>
  <c r="AP17" i="8"/>
  <c r="AL22" i="8"/>
  <c r="AG22" i="8"/>
  <c r="AB22" i="8"/>
  <c r="W22" i="8"/>
  <c r="U30" i="8"/>
  <c r="R22" i="8"/>
  <c r="S22" i="8" s="1"/>
  <c r="T22" i="8" s="1"/>
  <c r="U22" i="8" s="1"/>
  <c r="M22" i="8"/>
  <c r="N22" i="8" s="1"/>
  <c r="O22" i="8" s="1"/>
  <c r="P22" i="8" s="1"/>
  <c r="I22" i="8"/>
  <c r="J22" i="8" s="1"/>
  <c r="K22" i="8" s="1"/>
  <c r="AH35" i="7"/>
  <c r="AH28" i="7"/>
  <c r="AH29" i="7"/>
  <c r="AH30" i="7"/>
  <c r="AH31" i="7"/>
  <c r="AH32" i="7"/>
  <c r="AH33" i="7"/>
  <c r="AH34" i="7"/>
  <c r="AH27" i="7"/>
  <c r="AH7" i="7"/>
  <c r="AH8" i="7"/>
  <c r="AH9" i="7"/>
  <c r="AH10" i="7"/>
  <c r="AH11" i="7"/>
  <c r="AH12" i="7"/>
  <c r="AH13" i="7"/>
  <c r="AH14" i="7"/>
  <c r="AH15" i="7"/>
  <c r="AH16" i="7"/>
  <c r="AH17" i="7"/>
  <c r="AH18" i="7"/>
  <c r="AH19" i="7"/>
  <c r="AH20" i="7"/>
  <c r="AH21" i="7"/>
  <c r="AI21" i="7" s="1"/>
  <c r="AJ21" i="7" s="1"/>
  <c r="AK21" i="7" s="1"/>
  <c r="AH22" i="7"/>
  <c r="AH23" i="7"/>
  <c r="AH24" i="7"/>
  <c r="AH25" i="7"/>
  <c r="AC7" i="7"/>
  <c r="AC8" i="7"/>
  <c r="AC9" i="7"/>
  <c r="AC10" i="7"/>
  <c r="AC11" i="7"/>
  <c r="AC12" i="7"/>
  <c r="AD12" i="7" s="1"/>
  <c r="AE12" i="7" s="1"/>
  <c r="AC13" i="7"/>
  <c r="AC14" i="7"/>
  <c r="AC15" i="7"/>
  <c r="AD15" i="7" s="1"/>
  <c r="AE15" i="7" s="1"/>
  <c r="AC16" i="7"/>
  <c r="AC17" i="7"/>
  <c r="AC18" i="7"/>
  <c r="AD18" i="7" s="1"/>
  <c r="AE18" i="7" s="1"/>
  <c r="AC19" i="7"/>
  <c r="AC20" i="7"/>
  <c r="AD20" i="7" s="1"/>
  <c r="AE20" i="7" s="1"/>
  <c r="AC21" i="7"/>
  <c r="AC22" i="7"/>
  <c r="AC23" i="7"/>
  <c r="AC24" i="7"/>
  <c r="AC25" i="7"/>
  <c r="AC28" i="7"/>
  <c r="AC29" i="7"/>
  <c r="AC30" i="7"/>
  <c r="AC31" i="7"/>
  <c r="AC32" i="7"/>
  <c r="AC33" i="7"/>
  <c r="AC34" i="7"/>
  <c r="AD34" i="7" s="1"/>
  <c r="AE34" i="7" s="1"/>
  <c r="AF34" i="7" s="1"/>
  <c r="AC35" i="7"/>
  <c r="AC27" i="7"/>
  <c r="X28" i="7"/>
  <c r="X29" i="7"/>
  <c r="X30" i="7"/>
  <c r="X31" i="7"/>
  <c r="X32" i="7"/>
  <c r="X33" i="7"/>
  <c r="X34" i="7"/>
  <c r="X35" i="7"/>
  <c r="Y35" i="7" s="1"/>
  <c r="Z35" i="7" s="1"/>
  <c r="AA35" i="7" s="1"/>
  <c r="X27" i="7"/>
  <c r="X7" i="7"/>
  <c r="X8" i="7"/>
  <c r="X9" i="7"/>
  <c r="X10" i="7"/>
  <c r="X11" i="7"/>
  <c r="X12" i="7"/>
  <c r="X13" i="7"/>
  <c r="X14" i="7"/>
  <c r="Y14" i="7" s="1"/>
  <c r="Z14" i="7" s="1"/>
  <c r="AA14" i="7" s="1"/>
  <c r="X15" i="7"/>
  <c r="X16" i="7"/>
  <c r="X17" i="7"/>
  <c r="X18" i="7"/>
  <c r="X19" i="7"/>
  <c r="X20" i="7"/>
  <c r="X21" i="7"/>
  <c r="X22" i="7"/>
  <c r="X23" i="7"/>
  <c r="X24" i="7"/>
  <c r="X25" i="7"/>
  <c r="AH26" i="7"/>
  <c r="AC26" i="7"/>
  <c r="X26" i="7"/>
  <c r="S26" i="7"/>
  <c r="N26" i="7"/>
  <c r="I26" i="7"/>
  <c r="S30" i="7"/>
  <c r="S31" i="7"/>
  <c r="S29" i="7"/>
  <c r="S28" i="7"/>
  <c r="S27" i="7"/>
  <c r="S7" i="7"/>
  <c r="S8" i="7"/>
  <c r="S9" i="7"/>
  <c r="S10" i="7"/>
  <c r="S11" i="7"/>
  <c r="S12" i="7"/>
  <c r="S13" i="7"/>
  <c r="S14" i="7"/>
  <c r="T14" i="7" s="1"/>
  <c r="U14" i="7" s="1"/>
  <c r="V14" i="7" s="1"/>
  <c r="S15" i="7"/>
  <c r="S16" i="7"/>
  <c r="S17" i="7"/>
  <c r="S18" i="7"/>
  <c r="S19" i="7"/>
  <c r="S20" i="7"/>
  <c r="S21" i="7"/>
  <c r="S22" i="7"/>
  <c r="S23" i="7"/>
  <c r="S24" i="7"/>
  <c r="S25" i="7"/>
  <c r="N7" i="7"/>
  <c r="N8" i="7"/>
  <c r="N9" i="7"/>
  <c r="N10" i="7"/>
  <c r="N11" i="7"/>
  <c r="N12" i="7"/>
  <c r="N13" i="7"/>
  <c r="N14" i="7"/>
  <c r="O14" i="7" s="1"/>
  <c r="P14" i="7" s="1"/>
  <c r="Q14" i="7" s="1"/>
  <c r="N15" i="7"/>
  <c r="N16" i="7"/>
  <c r="N17" i="7"/>
  <c r="N18" i="7"/>
  <c r="N19" i="7"/>
  <c r="N20" i="7"/>
  <c r="N21" i="7"/>
  <c r="N22" i="7"/>
  <c r="O22" i="7" s="1"/>
  <c r="P22" i="7" s="1"/>
  <c r="Q22" i="7" s="1"/>
  <c r="N23" i="7"/>
  <c r="N24" i="7"/>
  <c r="N25" i="7"/>
  <c r="I7" i="7"/>
  <c r="I8" i="7"/>
  <c r="I10" i="7"/>
  <c r="I11" i="7"/>
  <c r="I12" i="7"/>
  <c r="I13" i="7"/>
  <c r="I14" i="7"/>
  <c r="I15" i="7"/>
  <c r="I16" i="7"/>
  <c r="I17" i="7"/>
  <c r="I18" i="7"/>
  <c r="I19" i="7"/>
  <c r="I20" i="7"/>
  <c r="I21" i="7"/>
  <c r="I22" i="7"/>
  <c r="I23" i="7"/>
  <c r="I24" i="7"/>
  <c r="J24" i="7" s="1"/>
  <c r="K24" i="7" s="1"/>
  <c r="L24" i="7" s="1"/>
  <c r="I25" i="7"/>
  <c r="AG18" i="7"/>
  <c r="H17" i="16"/>
  <c r="G17" i="16"/>
  <c r="F17" i="16"/>
  <c r="E17" i="16"/>
  <c r="D17" i="16"/>
  <c r="C17" i="16"/>
  <c r="H16" i="16"/>
  <c r="G16" i="16"/>
  <c r="F16" i="16"/>
  <c r="E16" i="16"/>
  <c r="D16" i="16"/>
  <c r="C16" i="16"/>
  <c r="H15" i="16"/>
  <c r="G15" i="16"/>
  <c r="F15" i="16"/>
  <c r="E15" i="16"/>
  <c r="D15" i="16"/>
  <c r="C15" i="16"/>
  <c r="H14" i="16"/>
  <c r="G14" i="16"/>
  <c r="F14" i="16"/>
  <c r="E14" i="16"/>
  <c r="D14" i="16"/>
  <c r="C14" i="16"/>
  <c r="H11" i="16"/>
  <c r="H13" i="16"/>
  <c r="G11" i="16"/>
  <c r="G13" i="16"/>
  <c r="F11" i="16"/>
  <c r="F13" i="16"/>
  <c r="E11" i="16"/>
  <c r="E13" i="16"/>
  <c r="D11" i="16"/>
  <c r="D13" i="16"/>
  <c r="C11" i="16"/>
  <c r="C13" i="16"/>
  <c r="H10" i="16"/>
  <c r="G10" i="16"/>
  <c r="F10" i="16"/>
  <c r="E10" i="16"/>
  <c r="D10" i="16"/>
  <c r="C10" i="16"/>
  <c r="H9" i="16"/>
  <c r="G9" i="16"/>
  <c r="F9" i="16"/>
  <c r="E9" i="16"/>
  <c r="D9" i="16"/>
  <c r="C9" i="16"/>
  <c r="H8" i="16"/>
  <c r="G8" i="16"/>
  <c r="F8" i="16"/>
  <c r="E8" i="16"/>
  <c r="D8" i="16"/>
  <c r="C8" i="16"/>
  <c r="H7" i="16"/>
  <c r="G7" i="16"/>
  <c r="F7" i="16"/>
  <c r="E7" i="16"/>
  <c r="D7" i="16"/>
  <c r="C7" i="16"/>
  <c r="H6" i="16"/>
  <c r="G6" i="16"/>
  <c r="F6" i="16"/>
  <c r="E6" i="16"/>
  <c r="D6" i="16"/>
  <c r="C6" i="16"/>
  <c r="H5" i="16"/>
  <c r="G5" i="16"/>
  <c r="F5" i="16"/>
  <c r="E5" i="16"/>
  <c r="D5" i="16"/>
  <c r="C5" i="16"/>
  <c r="H4" i="16"/>
  <c r="G4" i="16"/>
  <c r="F4" i="16"/>
  <c r="E4" i="16"/>
  <c r="D4" i="16"/>
  <c r="C4" i="16"/>
  <c r="G17" i="15"/>
  <c r="F17" i="15"/>
  <c r="E17" i="15"/>
  <c r="D17" i="15"/>
  <c r="C17" i="15"/>
  <c r="G16" i="15"/>
  <c r="F16" i="15"/>
  <c r="E16" i="15"/>
  <c r="D16" i="15"/>
  <c r="C16" i="15"/>
  <c r="G15" i="15"/>
  <c r="F15" i="15"/>
  <c r="E15" i="15"/>
  <c r="D15" i="15"/>
  <c r="C15" i="15"/>
  <c r="G14" i="15"/>
  <c r="F14" i="15"/>
  <c r="E14" i="15"/>
  <c r="D14" i="15"/>
  <c r="C14" i="15"/>
  <c r="G13" i="15"/>
  <c r="F13" i="15"/>
  <c r="E13" i="15"/>
  <c r="D13" i="15"/>
  <c r="C13" i="15"/>
  <c r="G11" i="15"/>
  <c r="F11" i="15"/>
  <c r="E11" i="15"/>
  <c r="D11" i="15"/>
  <c r="C11" i="15"/>
  <c r="G10" i="15"/>
  <c r="F10" i="15"/>
  <c r="E10" i="15"/>
  <c r="D10" i="15"/>
  <c r="C10" i="15"/>
  <c r="G9" i="15"/>
  <c r="F9" i="15"/>
  <c r="E9" i="15"/>
  <c r="D9" i="15"/>
  <c r="C9" i="15"/>
  <c r="G8" i="15"/>
  <c r="F8" i="15"/>
  <c r="E8" i="15"/>
  <c r="D8" i="15"/>
  <c r="C8" i="15"/>
  <c r="G7" i="15"/>
  <c r="F7" i="15"/>
  <c r="E7" i="15"/>
  <c r="D7" i="15"/>
  <c r="C7" i="15"/>
  <c r="G6" i="15"/>
  <c r="F6" i="15"/>
  <c r="E6" i="15"/>
  <c r="D6" i="15"/>
  <c r="C6" i="15"/>
  <c r="G5" i="15"/>
  <c r="F5" i="15"/>
  <c r="E5" i="15"/>
  <c r="D5" i="15"/>
  <c r="C5" i="15"/>
  <c r="G4" i="15"/>
  <c r="F4" i="15"/>
  <c r="E4" i="15"/>
  <c r="D4" i="15"/>
  <c r="C4" i="15"/>
  <c r="D15" i="14"/>
  <c r="D14" i="14"/>
  <c r="D13" i="14"/>
  <c r="D12" i="14"/>
  <c r="D11" i="14"/>
  <c r="D10" i="14"/>
  <c r="D9" i="14"/>
  <c r="D8" i="14"/>
  <c r="D7" i="14"/>
  <c r="D10" i="9"/>
  <c r="D5" i="9"/>
  <c r="D4" i="9"/>
  <c r="D3" i="9"/>
  <c r="AK23" i="8"/>
  <c r="AL23" i="8" s="1"/>
  <c r="AM23" i="8" s="1"/>
  <c r="AN23" i="8" s="1"/>
  <c r="AO23" i="8" s="1"/>
  <c r="AF23" i="8"/>
  <c r="AG23" i="8" s="1"/>
  <c r="AH23" i="8" s="1"/>
  <c r="AI23" i="8" s="1"/>
  <c r="AJ23" i="8" s="1"/>
  <c r="AA23" i="8"/>
  <c r="V23" i="8"/>
  <c r="Q23" i="8"/>
  <c r="R23" i="8" s="1"/>
  <c r="S23" i="8" s="1"/>
  <c r="T23" i="8" s="1"/>
  <c r="U23" i="8" s="1"/>
  <c r="P31" i="8"/>
  <c r="L23" i="8"/>
  <c r="L24" i="8" s="1"/>
  <c r="L25" i="8" s="1"/>
  <c r="L26" i="8" s="1"/>
  <c r="L27" i="8" s="1"/>
  <c r="L28" i="8" s="1"/>
  <c r="L29" i="8" s="1"/>
  <c r="L30" i="8" s="1"/>
  <c r="L31" i="8" s="1"/>
  <c r="P30" i="8"/>
  <c r="P29" i="8"/>
  <c r="P28" i="8"/>
  <c r="P27" i="8"/>
  <c r="P26" i="8"/>
  <c r="P25" i="8"/>
  <c r="P24" i="8"/>
  <c r="P23" i="8"/>
  <c r="AM22" i="8"/>
  <c r="AN22" i="8" s="1"/>
  <c r="AO22" i="8" s="1"/>
  <c r="AH22" i="8"/>
  <c r="AI22" i="8" s="1"/>
  <c r="AJ22" i="8" s="1"/>
  <c r="AC22" i="8"/>
  <c r="AD22" i="8" s="1"/>
  <c r="AE22" i="8" s="1"/>
  <c r="X22" i="8"/>
  <c r="Y22" i="8"/>
  <c r="Z22" i="8" s="1"/>
  <c r="AK21" i="8"/>
  <c r="AL21" i="8" s="1"/>
  <c r="AM21" i="8"/>
  <c r="AN21" i="8" s="1"/>
  <c r="AO21" i="8" s="1"/>
  <c r="AF21" i="8"/>
  <c r="AG21" i="8" s="1"/>
  <c r="AH21" i="8" s="1"/>
  <c r="AI21" i="8" s="1"/>
  <c r="AJ21" i="8" s="1"/>
  <c r="AA21" i="8"/>
  <c r="AB21" i="8" s="1"/>
  <c r="AC21" i="8" s="1"/>
  <c r="AD21" i="8" s="1"/>
  <c r="AE21" i="8" s="1"/>
  <c r="V21" i="8"/>
  <c r="Q21" i="8"/>
  <c r="L21" i="8"/>
  <c r="H21" i="8"/>
  <c r="I21" i="8" s="1"/>
  <c r="J21" i="8" s="1"/>
  <c r="K21" i="8" s="1"/>
  <c r="AK20" i="8"/>
  <c r="AK19" i="8" s="1"/>
  <c r="AG27" i="7"/>
  <c r="AG28" i="7"/>
  <c r="AG29" i="7"/>
  <c r="AG30" i="7"/>
  <c r="AG31" i="7"/>
  <c r="AG32" i="7"/>
  <c r="AG33" i="7"/>
  <c r="AG34" i="7"/>
  <c r="AG35" i="7"/>
  <c r="AI35" i="7"/>
  <c r="AJ35" i="7" s="1"/>
  <c r="AK35" i="7" s="1"/>
  <c r="AB27" i="7"/>
  <c r="AB28" i="7"/>
  <c r="AB29" i="7"/>
  <c r="AB30" i="7"/>
  <c r="AB31" i="7"/>
  <c r="AB32" i="7"/>
  <c r="AB33" i="7"/>
  <c r="AB34" i="7"/>
  <c r="AB35" i="7"/>
  <c r="AD35" i="7"/>
  <c r="AE35" i="7" s="1"/>
  <c r="AF35" i="7" s="1"/>
  <c r="W27" i="7"/>
  <c r="W28" i="7"/>
  <c r="W29" i="7"/>
  <c r="W30" i="7"/>
  <c r="W31" i="7"/>
  <c r="W32" i="7"/>
  <c r="W33" i="7"/>
  <c r="W34" i="7"/>
  <c r="W35" i="7"/>
  <c r="R27" i="7"/>
  <c r="R28" i="7"/>
  <c r="R29" i="7"/>
  <c r="R30" i="7"/>
  <c r="R31" i="7"/>
  <c r="Q35" i="7"/>
  <c r="M27" i="7"/>
  <c r="M28" i="7"/>
  <c r="M29" i="7"/>
  <c r="M30" i="7"/>
  <c r="M31" i="7"/>
  <c r="M32" i="7"/>
  <c r="M33" i="7"/>
  <c r="M34" i="7"/>
  <c r="M35" i="7"/>
  <c r="L35" i="7"/>
  <c r="AI34" i="7"/>
  <c r="AJ34" i="7"/>
  <c r="AK34" i="7" s="1"/>
  <c r="Y34" i="7"/>
  <c r="Z34" i="7" s="1"/>
  <c r="AA34" i="7" s="1"/>
  <c r="Q34" i="7"/>
  <c r="L34" i="7"/>
  <c r="AI33" i="7"/>
  <c r="AJ33" i="7"/>
  <c r="AK33" i="7"/>
  <c r="AD33" i="7"/>
  <c r="AE33" i="7"/>
  <c r="AF33" i="7" s="1"/>
  <c r="Y33" i="7"/>
  <c r="Z33" i="7" s="1"/>
  <c r="AA33" i="7" s="1"/>
  <c r="Q33" i="7"/>
  <c r="L33" i="7"/>
  <c r="AI32" i="7"/>
  <c r="AJ32" i="7"/>
  <c r="AK32" i="7"/>
  <c r="AD32" i="7"/>
  <c r="AE32" i="7" s="1"/>
  <c r="Y32" i="7"/>
  <c r="Z32" i="7" s="1"/>
  <c r="AA32" i="7" s="1"/>
  <c r="Q32" i="7"/>
  <c r="L32" i="7"/>
  <c r="AI31" i="7"/>
  <c r="AJ31" i="7"/>
  <c r="AK31" i="7"/>
  <c r="AD31" i="7"/>
  <c r="AE31" i="7" s="1"/>
  <c r="AF31" i="7" s="1"/>
  <c r="Y31" i="7"/>
  <c r="Z31" i="7"/>
  <c r="AA31" i="7" s="1"/>
  <c r="T31" i="7"/>
  <c r="U31" i="7" s="1"/>
  <c r="V31" i="7" s="1"/>
  <c r="Q31" i="7"/>
  <c r="L31" i="7"/>
  <c r="AI30" i="7"/>
  <c r="AJ30" i="7"/>
  <c r="AK30" i="7"/>
  <c r="AD30" i="7"/>
  <c r="AE30" i="7"/>
  <c r="AF30" i="7" s="1"/>
  <c r="Y30" i="7"/>
  <c r="Z30" i="7" s="1"/>
  <c r="AA30" i="7" s="1"/>
  <c r="T30" i="7"/>
  <c r="U30" i="7" s="1"/>
  <c r="V30" i="7" s="1"/>
  <c r="Q30" i="7"/>
  <c r="L30" i="7"/>
  <c r="AI29" i="7"/>
  <c r="AJ29" i="7"/>
  <c r="AK29" i="7"/>
  <c r="AD29" i="7"/>
  <c r="AE29" i="7"/>
  <c r="AF29" i="7" s="1"/>
  <c r="Y29" i="7"/>
  <c r="Z29" i="7" s="1"/>
  <c r="AA29" i="7" s="1"/>
  <c r="T29" i="7"/>
  <c r="U29" i="7" s="1"/>
  <c r="V29" i="7" s="1"/>
  <c r="Q29" i="7"/>
  <c r="L29" i="7"/>
  <c r="AI28" i="7"/>
  <c r="AJ28" i="7"/>
  <c r="AK28" i="7" s="1"/>
  <c r="AD28" i="7"/>
  <c r="AE28" i="7" s="1"/>
  <c r="AF28" i="7" s="1"/>
  <c r="Y28" i="7"/>
  <c r="Z28" i="7" s="1"/>
  <c r="AA28" i="7" s="1"/>
  <c r="T28" i="7"/>
  <c r="U28" i="7"/>
  <c r="V28" i="7" s="1"/>
  <c r="Q28" i="7"/>
  <c r="L28" i="7"/>
  <c r="AI27" i="7"/>
  <c r="AJ27" i="7"/>
  <c r="AK27" i="7" s="1"/>
  <c r="AD27" i="7"/>
  <c r="AE27" i="7" s="1"/>
  <c r="Y27" i="7"/>
  <c r="Z27" i="7" s="1"/>
  <c r="AA27" i="7" s="1"/>
  <c r="T27" i="7"/>
  <c r="U27" i="7" s="1"/>
  <c r="V27" i="7" s="1"/>
  <c r="Q27" i="7"/>
  <c r="L27" i="7"/>
  <c r="AI26" i="7"/>
  <c r="AJ26" i="7" s="1"/>
  <c r="AK26" i="7" s="1"/>
  <c r="AD26" i="7"/>
  <c r="AE26" i="7" s="1"/>
  <c r="AF26" i="7" s="1"/>
  <c r="Y26" i="7"/>
  <c r="Z26" i="7"/>
  <c r="AA26" i="7"/>
  <c r="T26" i="7"/>
  <c r="U26" i="7" s="1"/>
  <c r="V26" i="7" s="1"/>
  <c r="O26" i="7"/>
  <c r="P26" i="7" s="1"/>
  <c r="Q26" i="7" s="1"/>
  <c r="J26" i="7"/>
  <c r="K26" i="7" s="1"/>
  <c r="L26" i="7" s="1"/>
  <c r="AG25" i="7"/>
  <c r="AI25" i="7"/>
  <c r="AJ25" i="7"/>
  <c r="AK25" i="7" s="1"/>
  <c r="AB25" i="7"/>
  <c r="AD25" i="7"/>
  <c r="AE25" i="7"/>
  <c r="AF25" i="7" s="1"/>
  <c r="W25" i="7"/>
  <c r="Y25" i="7"/>
  <c r="Z25" i="7" s="1"/>
  <c r="AA25" i="7" s="1"/>
  <c r="R25" i="7"/>
  <c r="T25" i="7"/>
  <c r="U25" i="7" s="1"/>
  <c r="V25" i="7" s="1"/>
  <c r="M25" i="7"/>
  <c r="O25" i="7"/>
  <c r="P25" i="7" s="1"/>
  <c r="Q25" i="7" s="1"/>
  <c r="H25" i="7"/>
  <c r="J25" i="7"/>
  <c r="K25" i="7"/>
  <c r="L25" i="7"/>
  <c r="AG24" i="7"/>
  <c r="AI24" i="7"/>
  <c r="AJ24" i="7"/>
  <c r="AK24" i="7" s="1"/>
  <c r="AB24" i="7"/>
  <c r="AD24" i="7"/>
  <c r="AE24" i="7" s="1"/>
  <c r="W24" i="7"/>
  <c r="Y24" i="7"/>
  <c r="Z24" i="7"/>
  <c r="AA24" i="7" s="1"/>
  <c r="R24" i="7"/>
  <c r="T24" i="7"/>
  <c r="U24" i="7"/>
  <c r="V24" i="7" s="1"/>
  <c r="M24" i="7"/>
  <c r="O24" i="7"/>
  <c r="P24" i="7" s="1"/>
  <c r="Q24" i="7" s="1"/>
  <c r="H24" i="7"/>
  <c r="AG23" i="7"/>
  <c r="AI23" i="7"/>
  <c r="AJ23" i="7" s="1"/>
  <c r="AK23" i="7" s="1"/>
  <c r="AB23" i="7"/>
  <c r="AD23" i="7"/>
  <c r="AE23" i="7" s="1"/>
  <c r="AF23" i="7" s="1"/>
  <c r="W23" i="7"/>
  <c r="Y23" i="7"/>
  <c r="Z23" i="7"/>
  <c r="AA23" i="7" s="1"/>
  <c r="R23" i="7"/>
  <c r="T23" i="7"/>
  <c r="U23" i="7"/>
  <c r="V23" i="7" s="1"/>
  <c r="M23" i="7"/>
  <c r="O23" i="7"/>
  <c r="P23" i="7"/>
  <c r="Q23" i="7" s="1"/>
  <c r="H23" i="7"/>
  <c r="J23" i="7"/>
  <c r="K23" i="7"/>
  <c r="L23" i="7" s="1"/>
  <c r="AG22" i="7"/>
  <c r="AI22" i="7"/>
  <c r="AJ22" i="7" s="1"/>
  <c r="AK22" i="7" s="1"/>
  <c r="AB22" i="7"/>
  <c r="AD22" i="7"/>
  <c r="AE22" i="7" s="1"/>
  <c r="AF22" i="7" s="1"/>
  <c r="W22" i="7"/>
  <c r="Y22" i="7"/>
  <c r="Z22" i="7" s="1"/>
  <c r="AA22" i="7" s="1"/>
  <c r="R22" i="7"/>
  <c r="T22" i="7"/>
  <c r="U22" i="7" s="1"/>
  <c r="V22" i="7" s="1"/>
  <c r="M22" i="7"/>
  <c r="H22" i="7"/>
  <c r="J22" i="7"/>
  <c r="K22" i="7" s="1"/>
  <c r="L22" i="7" s="1"/>
  <c r="AG21" i="7"/>
  <c r="AB21" i="7"/>
  <c r="AD21" i="7"/>
  <c r="AE21" i="7" s="1"/>
  <c r="AF21" i="7" s="1"/>
  <c r="W21" i="7"/>
  <c r="Y21" i="7"/>
  <c r="Z21" i="7" s="1"/>
  <c r="AA21" i="7" s="1"/>
  <c r="R21" i="7"/>
  <c r="T21" i="7"/>
  <c r="U21" i="7" s="1"/>
  <c r="V21" i="7" s="1"/>
  <c r="M21" i="7"/>
  <c r="O21" i="7"/>
  <c r="P21" i="7" s="1"/>
  <c r="Q21" i="7" s="1"/>
  <c r="H21" i="7"/>
  <c r="J21" i="7"/>
  <c r="K21" i="7" s="1"/>
  <c r="L21" i="7" s="1"/>
  <c r="AG20" i="7"/>
  <c r="AI20" i="7"/>
  <c r="AJ20" i="7" s="1"/>
  <c r="AK20" i="7" s="1"/>
  <c r="AB20" i="7"/>
  <c r="W20" i="7"/>
  <c r="Y20" i="7"/>
  <c r="Z20" i="7"/>
  <c r="AA20" i="7" s="1"/>
  <c r="R20" i="7"/>
  <c r="T20" i="7"/>
  <c r="U20" i="7"/>
  <c r="V20" i="7"/>
  <c r="M20" i="7"/>
  <c r="O20" i="7"/>
  <c r="P20" i="7"/>
  <c r="Q20" i="7"/>
  <c r="H20" i="7"/>
  <c r="J20" i="7"/>
  <c r="K20" i="7" s="1"/>
  <c r="L20" i="7" s="1"/>
  <c r="AG19" i="7"/>
  <c r="AI19" i="7"/>
  <c r="AJ19" i="7"/>
  <c r="AK19" i="7" s="1"/>
  <c r="AB19" i="7"/>
  <c r="AD19" i="7"/>
  <c r="AE19" i="7"/>
  <c r="AF19" i="7" s="1"/>
  <c r="W19" i="7"/>
  <c r="Y19" i="7"/>
  <c r="Z19" i="7"/>
  <c r="AA19" i="7" s="1"/>
  <c r="R19" i="7"/>
  <c r="T19" i="7"/>
  <c r="U19" i="7"/>
  <c r="V19" i="7"/>
  <c r="M19" i="7"/>
  <c r="O19" i="7"/>
  <c r="P19" i="7" s="1"/>
  <c r="Q19" i="7" s="1"/>
  <c r="H19" i="7"/>
  <c r="J19" i="7"/>
  <c r="K19" i="7" s="1"/>
  <c r="L19" i="7" s="1"/>
  <c r="AI18" i="7"/>
  <c r="AJ18" i="7" s="1"/>
  <c r="AK18" i="7" s="1"/>
  <c r="AB18" i="7"/>
  <c r="W18" i="7"/>
  <c r="Y18" i="7"/>
  <c r="Z18" i="7" s="1"/>
  <c r="AA18" i="7" s="1"/>
  <c r="R18" i="7"/>
  <c r="T18" i="7"/>
  <c r="U18" i="7" s="1"/>
  <c r="V18" i="7" s="1"/>
  <c r="M18" i="7"/>
  <c r="O18" i="7"/>
  <c r="P18" i="7" s="1"/>
  <c r="Q18" i="7" s="1"/>
  <c r="H18" i="7"/>
  <c r="J18" i="7"/>
  <c r="K18" i="7" s="1"/>
  <c r="L18" i="7" s="1"/>
  <c r="AG17" i="7"/>
  <c r="AG16" i="7" s="1"/>
  <c r="AI17" i="7"/>
  <c r="AJ17" i="7" s="1"/>
  <c r="AB17" i="7"/>
  <c r="AD17" i="7"/>
  <c r="AE17" i="7"/>
  <c r="AF17" i="7" s="1"/>
  <c r="W17" i="7"/>
  <c r="Y17" i="7"/>
  <c r="Z17" i="7" s="1"/>
  <c r="AA17" i="7" s="1"/>
  <c r="R17" i="7"/>
  <c r="T17" i="7"/>
  <c r="U17" i="7"/>
  <c r="V17" i="7" s="1"/>
  <c r="M17" i="7"/>
  <c r="O17" i="7"/>
  <c r="P17" i="7"/>
  <c r="Q17" i="7" s="1"/>
  <c r="H17" i="7"/>
  <c r="J17" i="7"/>
  <c r="K17" i="7" s="1"/>
  <c r="AB16" i="7"/>
  <c r="AD16" i="7"/>
  <c r="AE16" i="7"/>
  <c r="W16" i="7"/>
  <c r="Y16" i="7"/>
  <c r="Z16" i="7"/>
  <c r="AA16" i="7" s="1"/>
  <c r="R16" i="7"/>
  <c r="T16" i="7"/>
  <c r="U16" i="7" s="1"/>
  <c r="V16" i="7" s="1"/>
  <c r="M16" i="7"/>
  <c r="O16" i="7"/>
  <c r="P16" i="7" s="1"/>
  <c r="Q16" i="7" s="1"/>
  <c r="H16" i="7"/>
  <c r="J16" i="7"/>
  <c r="K16" i="7" s="1"/>
  <c r="L16" i="7" s="1"/>
  <c r="AB15" i="7"/>
  <c r="W15" i="7"/>
  <c r="Y15" i="7"/>
  <c r="Z15" i="7" s="1"/>
  <c r="AA15" i="7" s="1"/>
  <c r="R15" i="7"/>
  <c r="T15" i="7"/>
  <c r="U15" i="7" s="1"/>
  <c r="V15" i="7" s="1"/>
  <c r="M15" i="7"/>
  <c r="O15" i="7"/>
  <c r="P15" i="7" s="1"/>
  <c r="Q15" i="7" s="1"/>
  <c r="H15" i="7"/>
  <c r="J15" i="7"/>
  <c r="K15" i="7" s="1"/>
  <c r="L15" i="7" s="1"/>
  <c r="AB14" i="7"/>
  <c r="AD14" i="7"/>
  <c r="AE14" i="7" s="1"/>
  <c r="AF14" i="7" s="1"/>
  <c r="W14" i="7"/>
  <c r="R14" i="7"/>
  <c r="M14" i="7"/>
  <c r="H14" i="7"/>
  <c r="J14" i="7"/>
  <c r="K14" i="7" s="1"/>
  <c r="L14" i="7" s="1"/>
  <c r="AB13" i="7"/>
  <c r="AD13" i="7"/>
  <c r="AE13" i="7"/>
  <c r="AF13" i="7" s="1"/>
  <c r="W13" i="7"/>
  <c r="Y13" i="7"/>
  <c r="Z13" i="7" s="1"/>
  <c r="AA13" i="7" s="1"/>
  <c r="R13" i="7"/>
  <c r="T13" i="7"/>
  <c r="U13" i="7"/>
  <c r="V13" i="7" s="1"/>
  <c r="M13" i="7"/>
  <c r="O13" i="7"/>
  <c r="P13" i="7" s="1"/>
  <c r="Q13" i="7" s="1"/>
  <c r="H13" i="7"/>
  <c r="J13" i="7"/>
  <c r="K13" i="7" s="1"/>
  <c r="L13" i="7" s="1"/>
  <c r="AB12" i="7"/>
  <c r="W12" i="7"/>
  <c r="Y12" i="7"/>
  <c r="Z12" i="7" s="1"/>
  <c r="AA12" i="7" s="1"/>
  <c r="R12" i="7"/>
  <c r="T12" i="7"/>
  <c r="U12" i="7"/>
  <c r="V12" i="7" s="1"/>
  <c r="M12" i="7"/>
  <c r="O12" i="7"/>
  <c r="P12" i="7" s="1"/>
  <c r="Q12" i="7" s="1"/>
  <c r="H12" i="7"/>
  <c r="J12" i="7"/>
  <c r="K12" i="7" s="1"/>
  <c r="L12" i="7" s="1"/>
  <c r="AB11" i="7"/>
  <c r="AD11" i="7"/>
  <c r="AE11" i="7"/>
  <c r="AF11" i="7"/>
  <c r="W11" i="7"/>
  <c r="Y11" i="7"/>
  <c r="Z11" i="7" s="1"/>
  <c r="R11" i="7"/>
  <c r="T11" i="7"/>
  <c r="U11" i="7"/>
  <c r="V11" i="7" s="1"/>
  <c r="M11" i="7"/>
  <c r="O11" i="7"/>
  <c r="P11" i="7" s="1"/>
  <c r="Q11" i="7" s="1"/>
  <c r="H11" i="7"/>
  <c r="J11" i="7"/>
  <c r="K11" i="7" s="1"/>
  <c r="L11" i="7" s="1"/>
  <c r="AB10" i="7"/>
  <c r="AD10" i="7"/>
  <c r="AE10" i="7"/>
  <c r="AF10" i="7"/>
  <c r="W10" i="7"/>
  <c r="Y10" i="7"/>
  <c r="Z10" i="7" s="1"/>
  <c r="AA10" i="7" s="1"/>
  <c r="R10" i="7"/>
  <c r="T10" i="7"/>
  <c r="U10" i="7"/>
  <c r="V10" i="7" s="1"/>
  <c r="M10" i="7"/>
  <c r="O10" i="7"/>
  <c r="P10" i="7" s="1"/>
  <c r="Q10" i="7" s="1"/>
  <c r="H10" i="7"/>
  <c r="J10" i="7"/>
  <c r="K10" i="7" s="1"/>
  <c r="L10" i="7" s="1"/>
  <c r="AB9" i="7"/>
  <c r="AD9" i="7"/>
  <c r="AE9" i="7" s="1"/>
  <c r="W9" i="7"/>
  <c r="Y9" i="7"/>
  <c r="Z9" i="7" s="1"/>
  <c r="AA9" i="7" s="1"/>
  <c r="R9" i="7"/>
  <c r="T9" i="7"/>
  <c r="U9" i="7"/>
  <c r="V9" i="7" s="1"/>
  <c r="M9" i="7"/>
  <c r="O9" i="7"/>
  <c r="P9" i="7"/>
  <c r="Q9" i="7" s="1"/>
  <c r="H9" i="7"/>
  <c r="I9" i="7"/>
  <c r="J9" i="7"/>
  <c r="K9" i="7"/>
  <c r="L9" i="7"/>
  <c r="AB8" i="7"/>
  <c r="AD8" i="7"/>
  <c r="AE8" i="7" s="1"/>
  <c r="AF8" i="7" s="1"/>
  <c r="W8" i="7"/>
  <c r="Y8" i="7"/>
  <c r="Z8" i="7" s="1"/>
  <c r="AA8" i="7" s="1"/>
  <c r="R8" i="7"/>
  <c r="T8" i="7"/>
  <c r="U8" i="7"/>
  <c r="V8" i="7" s="1"/>
  <c r="M8" i="7"/>
  <c r="O8" i="7"/>
  <c r="P8" i="7"/>
  <c r="Q8" i="7" s="1"/>
  <c r="H8" i="7"/>
  <c r="J8" i="7"/>
  <c r="K8" i="7" s="1"/>
  <c r="L8" i="7" s="1"/>
  <c r="AB7" i="7"/>
  <c r="AD7" i="7"/>
  <c r="AE7" i="7"/>
  <c r="AF7" i="7" s="1"/>
  <c r="W7" i="7"/>
  <c r="Y7" i="7"/>
  <c r="Z7" i="7"/>
  <c r="AA7" i="7" s="1"/>
  <c r="R7" i="7"/>
  <c r="T7" i="7"/>
  <c r="U7" i="7" s="1"/>
  <c r="V7" i="7" s="1"/>
  <c r="M7" i="7"/>
  <c r="O7" i="7"/>
  <c r="P7" i="7" s="1"/>
  <c r="Q7" i="7" s="1"/>
  <c r="H7" i="7"/>
  <c r="J7" i="7"/>
  <c r="K7" i="7" s="1"/>
  <c r="L7" i="7" s="1"/>
  <c r="AP16" i="8" l="1"/>
  <c r="AQ17" i="8"/>
  <c r="AR17" i="8" s="1"/>
  <c r="AS17" i="8" s="1"/>
  <c r="AT17" i="8" s="1"/>
  <c r="AP28" i="8"/>
  <c r="AQ27" i="8"/>
  <c r="AR27" i="8" s="1"/>
  <c r="AS27" i="8" s="1"/>
  <c r="AT27" i="8" s="1"/>
  <c r="Q24" i="8"/>
  <c r="AA20" i="8"/>
  <c r="AB20" i="8" s="1"/>
  <c r="AC20" i="8" s="1"/>
  <c r="AD20" i="8" s="1"/>
  <c r="AE20" i="8" s="1"/>
  <c r="AF20" i="8"/>
  <c r="AG20" i="8" s="1"/>
  <c r="AH20" i="8" s="1"/>
  <c r="AI20" i="8" s="1"/>
  <c r="AJ20" i="8" s="1"/>
  <c r="AF24" i="8"/>
  <c r="AF25" i="8" s="1"/>
  <c r="AL19" i="8"/>
  <c r="AM19" i="8" s="1"/>
  <c r="AN19" i="8" s="1"/>
  <c r="AO19" i="8" s="1"/>
  <c r="AK18" i="8"/>
  <c r="W21" i="8"/>
  <c r="X21" i="8" s="1"/>
  <c r="Y21" i="8" s="1"/>
  <c r="Z21" i="8" s="1"/>
  <c r="AB23" i="8"/>
  <c r="AC23" i="8" s="1"/>
  <c r="AD23" i="8" s="1"/>
  <c r="AE23" i="8" s="1"/>
  <c r="AA24" i="8"/>
  <c r="AF19" i="8"/>
  <c r="H20" i="8"/>
  <c r="W23" i="8"/>
  <c r="X23" i="8" s="1"/>
  <c r="Y23" i="8" s="1"/>
  <c r="Z23" i="8" s="1"/>
  <c r="V24" i="8"/>
  <c r="Q25" i="8"/>
  <c r="R24" i="8"/>
  <c r="S24" i="8" s="1"/>
  <c r="T24" i="8" s="1"/>
  <c r="U24" i="8" s="1"/>
  <c r="AL20" i="8"/>
  <c r="AM20" i="8" s="1"/>
  <c r="AN20" i="8" s="1"/>
  <c r="AO20" i="8" s="1"/>
  <c r="AK24" i="8"/>
  <c r="V20" i="8"/>
  <c r="M21" i="8"/>
  <c r="N21" i="8" s="1"/>
  <c r="O21" i="8" s="1"/>
  <c r="P21" i="8" s="1"/>
  <c r="L20" i="8"/>
  <c r="AA19" i="8"/>
  <c r="R21" i="8"/>
  <c r="S21" i="8" s="1"/>
  <c r="T21" i="8" s="1"/>
  <c r="U21" i="8" s="1"/>
  <c r="Q20" i="8"/>
  <c r="U31" i="8"/>
  <c r="AF9" i="7"/>
  <c r="AF18" i="7"/>
  <c r="AF15" i="7"/>
  <c r="AF24" i="7"/>
  <c r="AF20" i="7"/>
  <c r="AF12" i="7"/>
  <c r="AF16" i="7"/>
  <c r="AF32" i="7"/>
  <c r="AF27" i="7"/>
  <c r="AA11" i="7"/>
  <c r="L17" i="7"/>
  <c r="AI16" i="7"/>
  <c r="AJ16" i="7" s="1"/>
  <c r="AG15" i="7"/>
  <c r="AK17" i="7"/>
  <c r="AP29" i="8" l="1"/>
  <c r="AQ28" i="8"/>
  <c r="AR28" i="8" s="1"/>
  <c r="AS28" i="8" s="1"/>
  <c r="AT28" i="8" s="1"/>
  <c r="AP15" i="8"/>
  <c r="AQ16" i="8"/>
  <c r="AR16" i="8" s="1"/>
  <c r="AS16" i="8" s="1"/>
  <c r="AT16" i="8" s="1"/>
  <c r="AG24" i="8"/>
  <c r="AH24" i="8" s="1"/>
  <c r="AI24" i="8" s="1"/>
  <c r="AJ24" i="8" s="1"/>
  <c r="R20" i="8"/>
  <c r="S20" i="8" s="1"/>
  <c r="T20" i="8" s="1"/>
  <c r="U20" i="8" s="1"/>
  <c r="Q19" i="8"/>
  <c r="W24" i="8"/>
  <c r="X24" i="8" s="1"/>
  <c r="Y24" i="8" s="1"/>
  <c r="Z24" i="8" s="1"/>
  <c r="V25" i="8"/>
  <c r="M20" i="8"/>
  <c r="N20" i="8" s="1"/>
  <c r="O20" i="8" s="1"/>
  <c r="P20" i="8" s="1"/>
  <c r="L19" i="8"/>
  <c r="AA25" i="8"/>
  <c r="AB24" i="8"/>
  <c r="AC24" i="8" s="1"/>
  <c r="AD24" i="8" s="1"/>
  <c r="AE24" i="8" s="1"/>
  <c r="W20" i="8"/>
  <c r="X20" i="8" s="1"/>
  <c r="Y20" i="8" s="1"/>
  <c r="Z20" i="8" s="1"/>
  <c r="V19" i="8"/>
  <c r="R25" i="8"/>
  <c r="S25" i="8" s="1"/>
  <c r="T25" i="8" s="1"/>
  <c r="U25" i="8" s="1"/>
  <c r="Q26" i="8"/>
  <c r="AG19" i="8"/>
  <c r="AH19" i="8" s="1"/>
  <c r="AF18" i="8"/>
  <c r="AI19" i="8"/>
  <c r="AJ19" i="8" s="1"/>
  <c r="AL18" i="8"/>
  <c r="AM18" i="8" s="1"/>
  <c r="AN18" i="8" s="1"/>
  <c r="AO18" i="8" s="1"/>
  <c r="AK17" i="8"/>
  <c r="AG25" i="8"/>
  <c r="AH25" i="8" s="1"/>
  <c r="AI25" i="8" s="1"/>
  <c r="AJ25" i="8" s="1"/>
  <c r="AF26" i="8"/>
  <c r="AL24" i="8"/>
  <c r="AM24" i="8" s="1"/>
  <c r="AN24" i="8" s="1"/>
  <c r="AO24" i="8" s="1"/>
  <c r="AK25" i="8"/>
  <c r="AB19" i="8"/>
  <c r="AC19" i="8" s="1"/>
  <c r="AD19" i="8" s="1"/>
  <c r="AE19" i="8" s="1"/>
  <c r="AA18" i="8"/>
  <c r="I20" i="8"/>
  <c r="J20" i="8" s="1"/>
  <c r="K20" i="8" s="1"/>
  <c r="H19" i="8"/>
  <c r="AK16" i="7"/>
  <c r="AG14" i="7"/>
  <c r="AI15" i="7"/>
  <c r="AJ15" i="7" s="1"/>
  <c r="AP14" i="8" l="1"/>
  <c r="AQ15" i="8"/>
  <c r="AR15" i="8" s="1"/>
  <c r="AS15" i="8" s="1"/>
  <c r="AT15" i="8" s="1"/>
  <c r="AQ29" i="8"/>
  <c r="AR29" i="8" s="1"/>
  <c r="AS29" i="8" s="1"/>
  <c r="AT29" i="8" s="1"/>
  <c r="AP30" i="8"/>
  <c r="AL25" i="8"/>
  <c r="AM25" i="8" s="1"/>
  <c r="AN25" i="8" s="1"/>
  <c r="AO25" i="8" s="1"/>
  <c r="AK26" i="8"/>
  <c r="AG18" i="8"/>
  <c r="AH18" i="8" s="1"/>
  <c r="AI18" i="8" s="1"/>
  <c r="AJ18" i="8" s="1"/>
  <c r="AF17" i="8"/>
  <c r="AB25" i="8"/>
  <c r="AC25" i="8" s="1"/>
  <c r="AD25" i="8" s="1"/>
  <c r="AE25" i="8" s="1"/>
  <c r="AA26" i="8"/>
  <c r="M19" i="8"/>
  <c r="N19" i="8" s="1"/>
  <c r="O19" i="8" s="1"/>
  <c r="P19" i="8" s="1"/>
  <c r="L18" i="8"/>
  <c r="AG26" i="8"/>
  <c r="AH26" i="8" s="1"/>
  <c r="AF27" i="8"/>
  <c r="AI26" i="8"/>
  <c r="AJ26" i="8" s="1"/>
  <c r="R26" i="8"/>
  <c r="S26" i="8" s="1"/>
  <c r="T26" i="8" s="1"/>
  <c r="U26" i="8" s="1"/>
  <c r="Q27" i="8"/>
  <c r="W25" i="8"/>
  <c r="X25" i="8" s="1"/>
  <c r="V26" i="8"/>
  <c r="Y25" i="8"/>
  <c r="Z25" i="8" s="1"/>
  <c r="I19" i="8"/>
  <c r="J19" i="8" s="1"/>
  <c r="K19" i="8" s="1"/>
  <c r="H18" i="8"/>
  <c r="AL17" i="8"/>
  <c r="AM17" i="8" s="1"/>
  <c r="AN17" i="8" s="1"/>
  <c r="AO17" i="8" s="1"/>
  <c r="AK16" i="8"/>
  <c r="V18" i="8"/>
  <c r="W19" i="8"/>
  <c r="X19" i="8" s="1"/>
  <c r="Y19" i="8" s="1"/>
  <c r="Z19" i="8" s="1"/>
  <c r="R19" i="8"/>
  <c r="S19" i="8" s="1"/>
  <c r="T19" i="8" s="1"/>
  <c r="U19" i="8" s="1"/>
  <c r="Q18" i="8"/>
  <c r="AB18" i="8"/>
  <c r="AC18" i="8" s="1"/>
  <c r="AD18" i="8" s="1"/>
  <c r="AE18" i="8" s="1"/>
  <c r="AA17" i="8"/>
  <c r="AK15" i="7"/>
  <c r="AG13" i="7"/>
  <c r="AI14" i="7"/>
  <c r="AJ14" i="7" s="1"/>
  <c r="AP31" i="8" l="1"/>
  <c r="AQ30" i="8"/>
  <c r="AR30" i="8" s="1"/>
  <c r="AS30" i="8" s="1"/>
  <c r="AT30" i="8" s="1"/>
  <c r="AP13" i="8"/>
  <c r="AQ14" i="8"/>
  <c r="AR14" i="8" s="1"/>
  <c r="AS14" i="8" s="1"/>
  <c r="AT14" i="8" s="1"/>
  <c r="R18" i="8"/>
  <c r="S18" i="8" s="1"/>
  <c r="T18" i="8" s="1"/>
  <c r="U18" i="8" s="1"/>
  <c r="Q17" i="8"/>
  <c r="I18" i="8"/>
  <c r="J18" i="8" s="1"/>
  <c r="K18" i="8" s="1"/>
  <c r="H17" i="8"/>
  <c r="AG17" i="8"/>
  <c r="AH17" i="8" s="1"/>
  <c r="AI17" i="8" s="1"/>
  <c r="AJ17" i="8" s="1"/>
  <c r="AF16" i="8"/>
  <c r="AL26" i="8"/>
  <c r="AM26" i="8" s="1"/>
  <c r="AN26" i="8" s="1"/>
  <c r="AO26" i="8" s="1"/>
  <c r="AK27" i="8"/>
  <c r="L17" i="8"/>
  <c r="M18" i="8"/>
  <c r="N18" i="8" s="1"/>
  <c r="O18" i="8"/>
  <c r="P18" i="8" s="1"/>
  <c r="W26" i="8"/>
  <c r="X26" i="8" s="1"/>
  <c r="V27" i="8"/>
  <c r="Y26" i="8"/>
  <c r="Z26" i="8" s="1"/>
  <c r="R27" i="8"/>
  <c r="S27" i="8" s="1"/>
  <c r="T27" i="8" s="1"/>
  <c r="U27" i="8" s="1"/>
  <c r="Q28" i="8"/>
  <c r="AB17" i="8"/>
  <c r="AC17" i="8" s="1"/>
  <c r="AD17" i="8" s="1"/>
  <c r="AE17" i="8" s="1"/>
  <c r="AA16" i="8"/>
  <c r="W18" i="8"/>
  <c r="X18" i="8" s="1"/>
  <c r="Y18" i="8"/>
  <c r="Z18" i="8" s="1"/>
  <c r="V17" i="8"/>
  <c r="AL16" i="8"/>
  <c r="AM16" i="8" s="1"/>
  <c r="AN16" i="8"/>
  <c r="AO16" i="8" s="1"/>
  <c r="AK15" i="8"/>
  <c r="AB26" i="8"/>
  <c r="AC26" i="8" s="1"/>
  <c r="AD26" i="8" s="1"/>
  <c r="AE26" i="8" s="1"/>
  <c r="AA27" i="8"/>
  <c r="AG27" i="8"/>
  <c r="AH27" i="8" s="1"/>
  <c r="AI27" i="8" s="1"/>
  <c r="AJ27" i="8" s="1"/>
  <c r="AF28" i="8"/>
  <c r="AK14" i="7"/>
  <c r="AG12" i="7"/>
  <c r="AI13" i="7"/>
  <c r="AJ13" i="7" s="1"/>
  <c r="AQ13" i="8" l="1"/>
  <c r="AR13" i="8" s="1"/>
  <c r="AS13" i="8" s="1"/>
  <c r="AT13" i="8" s="1"/>
  <c r="AP12" i="8"/>
  <c r="AQ31" i="8"/>
  <c r="AR31" i="8" s="1"/>
  <c r="AS31" i="8" s="1"/>
  <c r="AT31" i="8" s="1"/>
  <c r="AF15" i="8"/>
  <c r="AG16" i="8"/>
  <c r="AH16" i="8" s="1"/>
  <c r="AI16" i="8" s="1"/>
  <c r="AJ16" i="8" s="1"/>
  <c r="W17" i="8"/>
  <c r="X17" i="8" s="1"/>
  <c r="Y17" i="8" s="1"/>
  <c r="Z17" i="8" s="1"/>
  <c r="V16" i="8"/>
  <c r="W27" i="8"/>
  <c r="X27" i="8" s="1"/>
  <c r="V28" i="8"/>
  <c r="Y27" i="8"/>
  <c r="Z27" i="8" s="1"/>
  <c r="AF29" i="8"/>
  <c r="AG28" i="8"/>
  <c r="AH28" i="8" s="1"/>
  <c r="AI28" i="8" s="1"/>
  <c r="AJ28" i="8" s="1"/>
  <c r="I17" i="8"/>
  <c r="J17" i="8" s="1"/>
  <c r="K17" i="8" s="1"/>
  <c r="H16" i="8"/>
  <c r="M17" i="8"/>
  <c r="N17" i="8" s="1"/>
  <c r="O17" i="8" s="1"/>
  <c r="P17" i="8" s="1"/>
  <c r="L16" i="8"/>
  <c r="AB27" i="8"/>
  <c r="AC27" i="8" s="1"/>
  <c r="AD27" i="8" s="1"/>
  <c r="AE27" i="8" s="1"/>
  <c r="AA28" i="8"/>
  <c r="AB16" i="8"/>
  <c r="AC16" i="8" s="1"/>
  <c r="AD16" i="8" s="1"/>
  <c r="AE16" i="8" s="1"/>
  <c r="AA15" i="8"/>
  <c r="R17" i="8"/>
  <c r="S17" i="8" s="1"/>
  <c r="T17" i="8" s="1"/>
  <c r="U17" i="8" s="1"/>
  <c r="Q16" i="8"/>
  <c r="AL15" i="8"/>
  <c r="AM15" i="8" s="1"/>
  <c r="AN15" i="8" s="1"/>
  <c r="AO15" i="8" s="1"/>
  <c r="AK14" i="8"/>
  <c r="R28" i="8"/>
  <c r="S28" i="8" s="1"/>
  <c r="T28" i="8" s="1"/>
  <c r="U28" i="8" s="1"/>
  <c r="Q29" i="8"/>
  <c r="R29" i="8" s="1"/>
  <c r="S29" i="8" s="1"/>
  <c r="T29" i="8" s="1"/>
  <c r="U29" i="8" s="1"/>
  <c r="AL27" i="8"/>
  <c r="AM27" i="8" s="1"/>
  <c r="AN27" i="8" s="1"/>
  <c r="AO27" i="8" s="1"/>
  <c r="AK28" i="8"/>
  <c r="AK13" i="7"/>
  <c r="AI12" i="7"/>
  <c r="AJ12" i="7" s="1"/>
  <c r="AG11" i="7"/>
  <c r="AP11" i="8" l="1"/>
  <c r="AQ12" i="8"/>
  <c r="AR12" i="8" s="1"/>
  <c r="AS12" i="8" s="1"/>
  <c r="AT12" i="8" s="1"/>
  <c r="M16" i="8"/>
  <c r="N16" i="8" s="1"/>
  <c r="O16" i="8" s="1"/>
  <c r="P16" i="8" s="1"/>
  <c r="L15" i="8"/>
  <c r="W28" i="8"/>
  <c r="X28" i="8" s="1"/>
  <c r="Y28" i="8" s="1"/>
  <c r="Z28" i="8" s="1"/>
  <c r="V29" i="8"/>
  <c r="AB28" i="8"/>
  <c r="AC28" i="8" s="1"/>
  <c r="AD28" i="8" s="1"/>
  <c r="AE28" i="8" s="1"/>
  <c r="AA29" i="8"/>
  <c r="I16" i="8"/>
  <c r="J16" i="8" s="1"/>
  <c r="K16" i="8" s="1"/>
  <c r="H15" i="8"/>
  <c r="W16" i="8"/>
  <c r="X16" i="8" s="1"/>
  <c r="V15" i="8"/>
  <c r="Y16" i="8"/>
  <c r="Z16" i="8" s="1"/>
  <c r="AG29" i="8"/>
  <c r="AH29" i="8" s="1"/>
  <c r="AF30" i="8"/>
  <c r="AI29" i="8"/>
  <c r="AJ29" i="8" s="1"/>
  <c r="AL28" i="8"/>
  <c r="AM28" i="8" s="1"/>
  <c r="AN28" i="8" s="1"/>
  <c r="AO28" i="8" s="1"/>
  <c r="AK29" i="8"/>
  <c r="AB15" i="8"/>
  <c r="AC15" i="8" s="1"/>
  <c r="AD15" i="8" s="1"/>
  <c r="AE15" i="8" s="1"/>
  <c r="AA14" i="8"/>
  <c r="AL14" i="8"/>
  <c r="AM14" i="8" s="1"/>
  <c r="AN14" i="8" s="1"/>
  <c r="AO14" i="8" s="1"/>
  <c r="AK13" i="8"/>
  <c r="R16" i="8"/>
  <c r="S16" i="8" s="1"/>
  <c r="T16" i="8" s="1"/>
  <c r="U16" i="8" s="1"/>
  <c r="Q15" i="8"/>
  <c r="AG15" i="8"/>
  <c r="AH15" i="8" s="1"/>
  <c r="AI15" i="8" s="1"/>
  <c r="AJ15" i="8" s="1"/>
  <c r="AF14" i="8"/>
  <c r="AK12" i="7"/>
  <c r="AG10" i="7"/>
  <c r="AI11" i="7"/>
  <c r="AJ11" i="7" s="1"/>
  <c r="AP10" i="8" l="1"/>
  <c r="AQ11" i="8"/>
  <c r="AR11" i="8" s="1"/>
  <c r="AS11" i="8" s="1"/>
  <c r="AT11" i="8" s="1"/>
  <c r="R15" i="8"/>
  <c r="S15" i="8" s="1"/>
  <c r="T15" i="8" s="1"/>
  <c r="U15" i="8" s="1"/>
  <c r="Q14" i="8"/>
  <c r="AB29" i="8"/>
  <c r="AC29" i="8" s="1"/>
  <c r="AD29" i="8" s="1"/>
  <c r="AE29" i="8" s="1"/>
  <c r="AA30" i="8"/>
  <c r="AG30" i="8"/>
  <c r="AH30" i="8" s="1"/>
  <c r="AI30" i="8" s="1"/>
  <c r="AJ30" i="8" s="1"/>
  <c r="AF31" i="8"/>
  <c r="W15" i="8"/>
  <c r="X15" i="8" s="1"/>
  <c r="Y15" i="8" s="1"/>
  <c r="Z15" i="8" s="1"/>
  <c r="V14" i="8"/>
  <c r="M15" i="8"/>
  <c r="N15" i="8" s="1"/>
  <c r="O15" i="8" s="1"/>
  <c r="P15" i="8" s="1"/>
  <c r="L14" i="8"/>
  <c r="I15" i="8"/>
  <c r="J15" i="8" s="1"/>
  <c r="H14" i="8"/>
  <c r="K15" i="8"/>
  <c r="AL13" i="8"/>
  <c r="AM13" i="8" s="1"/>
  <c r="AN13" i="8" s="1"/>
  <c r="AO13" i="8" s="1"/>
  <c r="AK12" i="8"/>
  <c r="V30" i="8"/>
  <c r="W29" i="8"/>
  <c r="X29" i="8" s="1"/>
  <c r="Y29" i="8"/>
  <c r="Z29" i="8" s="1"/>
  <c r="AB14" i="8"/>
  <c r="AC14" i="8" s="1"/>
  <c r="AA13" i="8"/>
  <c r="AD14" i="8"/>
  <c r="AE14" i="8" s="1"/>
  <c r="AG14" i="8"/>
  <c r="AH14" i="8" s="1"/>
  <c r="AI14" i="8" s="1"/>
  <c r="AJ14" i="8" s="1"/>
  <c r="AF13" i="8"/>
  <c r="AK30" i="8"/>
  <c r="AL29" i="8"/>
  <c r="AM29" i="8" s="1"/>
  <c r="AN29" i="8" s="1"/>
  <c r="AO29" i="8" s="1"/>
  <c r="AK11" i="7"/>
  <c r="AG9" i="7"/>
  <c r="AI10" i="7"/>
  <c r="AJ10" i="7" s="1"/>
  <c r="AQ10" i="8" l="1"/>
  <c r="AR10" i="8" s="1"/>
  <c r="AS10" i="8" s="1"/>
  <c r="AT10" i="8" s="1"/>
  <c r="AP9" i="8"/>
  <c r="AG31" i="8"/>
  <c r="AH31" i="8" s="1"/>
  <c r="AI31" i="8" s="1"/>
  <c r="AJ31" i="8" s="1"/>
  <c r="AB30" i="8"/>
  <c r="AC30" i="8" s="1"/>
  <c r="AD30" i="8" s="1"/>
  <c r="AE30" i="8" s="1"/>
  <c r="AA31" i="8"/>
  <c r="AB31" i="8" s="1"/>
  <c r="AC31" i="8" s="1"/>
  <c r="AD31" i="8" s="1"/>
  <c r="AE31" i="8" s="1"/>
  <c r="AB13" i="8"/>
  <c r="AC13" i="8" s="1"/>
  <c r="AD13" i="8" s="1"/>
  <c r="AE13" i="8" s="1"/>
  <c r="AA12" i="8"/>
  <c r="AL30" i="8"/>
  <c r="AM30" i="8" s="1"/>
  <c r="AN30" i="8" s="1"/>
  <c r="AO30" i="8" s="1"/>
  <c r="AK31" i="8"/>
  <c r="AL31" i="8" s="1"/>
  <c r="AM31" i="8" s="1"/>
  <c r="AN31" i="8" s="1"/>
  <c r="AO31" i="8" s="1"/>
  <c r="R14" i="8"/>
  <c r="S14" i="8" s="1"/>
  <c r="T14" i="8" s="1"/>
  <c r="U14" i="8" s="1"/>
  <c r="Q13" i="8"/>
  <c r="I14" i="8"/>
  <c r="J14" i="8" s="1"/>
  <c r="K14" i="8" s="1"/>
  <c r="H13" i="8"/>
  <c r="M14" i="8"/>
  <c r="N14" i="8" s="1"/>
  <c r="O14" i="8" s="1"/>
  <c r="P14" i="8" s="1"/>
  <c r="L13" i="8"/>
  <c r="V31" i="8"/>
  <c r="W31" i="8" s="1"/>
  <c r="X31" i="8" s="1"/>
  <c r="Y31" i="8" s="1"/>
  <c r="Z31" i="8" s="1"/>
  <c r="W30" i="8"/>
  <c r="X30" i="8" s="1"/>
  <c r="Y30" i="8" s="1"/>
  <c r="Z30" i="8" s="1"/>
  <c r="AG13" i="8"/>
  <c r="AH13" i="8" s="1"/>
  <c r="AI13" i="8" s="1"/>
  <c r="AJ13" i="8" s="1"/>
  <c r="AF12" i="8"/>
  <c r="AL12" i="8"/>
  <c r="AM12" i="8" s="1"/>
  <c r="AN12" i="8" s="1"/>
  <c r="AO12" i="8" s="1"/>
  <c r="AK11" i="8"/>
  <c r="W14" i="8"/>
  <c r="X14" i="8" s="1"/>
  <c r="Y14" i="8" s="1"/>
  <c r="Z14" i="8" s="1"/>
  <c r="V13" i="8"/>
  <c r="AK10" i="7"/>
  <c r="AG8" i="7"/>
  <c r="AI9" i="7"/>
  <c r="AJ9" i="7" s="1"/>
  <c r="AP8" i="8" l="1"/>
  <c r="AQ9" i="8"/>
  <c r="AR9" i="8" s="1"/>
  <c r="AS9" i="8" s="1"/>
  <c r="AT9" i="8" s="1"/>
  <c r="AB12" i="8"/>
  <c r="AC12" i="8" s="1"/>
  <c r="AD12" i="8" s="1"/>
  <c r="AE12" i="8" s="1"/>
  <c r="AA11" i="8"/>
  <c r="AL11" i="8"/>
  <c r="AM11" i="8" s="1"/>
  <c r="AN11" i="8" s="1"/>
  <c r="AO11" i="8" s="1"/>
  <c r="AK10" i="8"/>
  <c r="AG12" i="8"/>
  <c r="AH12" i="8" s="1"/>
  <c r="AI12" i="8"/>
  <c r="AJ12" i="8" s="1"/>
  <c r="AF11" i="8"/>
  <c r="W13" i="8"/>
  <c r="X13" i="8" s="1"/>
  <c r="Y13" i="8" s="1"/>
  <c r="Z13" i="8" s="1"/>
  <c r="V12" i="8"/>
  <c r="M13" i="8"/>
  <c r="N13" i="8" s="1"/>
  <c r="O13" i="8" s="1"/>
  <c r="P13" i="8" s="1"/>
  <c r="L12" i="8"/>
  <c r="I13" i="8"/>
  <c r="J13" i="8" s="1"/>
  <c r="K13" i="8" s="1"/>
  <c r="H12" i="8"/>
  <c r="R13" i="8"/>
  <c r="S13" i="8" s="1"/>
  <c r="T13" i="8" s="1"/>
  <c r="U13" i="8" s="1"/>
  <c r="Q12" i="8"/>
  <c r="AK9" i="7"/>
  <c r="AI8" i="7"/>
  <c r="AJ8" i="7" s="1"/>
  <c r="AG7" i="7"/>
  <c r="AP7" i="8" l="1"/>
  <c r="AQ8" i="8"/>
  <c r="AR8" i="8" s="1"/>
  <c r="AS8" i="8" s="1"/>
  <c r="AT8" i="8" s="1"/>
  <c r="R12" i="8"/>
  <c r="S12" i="8" s="1"/>
  <c r="T12" i="8" s="1"/>
  <c r="U12" i="8" s="1"/>
  <c r="Q11" i="8"/>
  <c r="AG11" i="8"/>
  <c r="AH11" i="8" s="1"/>
  <c r="AI11" i="8" s="1"/>
  <c r="AJ11" i="8" s="1"/>
  <c r="AF10" i="8"/>
  <c r="M12" i="8"/>
  <c r="N12" i="8" s="1"/>
  <c r="O12" i="8" s="1"/>
  <c r="P12" i="8" s="1"/>
  <c r="L11" i="8"/>
  <c r="AB11" i="8"/>
  <c r="AC11" i="8" s="1"/>
  <c r="AD11" i="8" s="1"/>
  <c r="AE11" i="8" s="1"/>
  <c r="AA10" i="8"/>
  <c r="I12" i="8"/>
  <c r="J12" i="8" s="1"/>
  <c r="K12" i="8" s="1"/>
  <c r="H11" i="8"/>
  <c r="AL10" i="8"/>
  <c r="AM10" i="8" s="1"/>
  <c r="AN10" i="8"/>
  <c r="AO10" i="8" s="1"/>
  <c r="AK9" i="8"/>
  <c r="W12" i="8"/>
  <c r="X12" i="8" s="1"/>
  <c r="Y12" i="8" s="1"/>
  <c r="Z12" i="8" s="1"/>
  <c r="V11" i="8"/>
  <c r="AK8" i="7"/>
  <c r="AI7" i="7"/>
  <c r="AJ7" i="7" s="1"/>
  <c r="AQ7" i="8" l="1"/>
  <c r="AR7" i="8" s="1"/>
  <c r="AS7" i="8" s="1"/>
  <c r="AT7" i="8" s="1"/>
  <c r="AL9" i="8"/>
  <c r="AM9" i="8" s="1"/>
  <c r="AN9" i="8" s="1"/>
  <c r="AO9" i="8" s="1"/>
  <c r="AK8" i="8"/>
  <c r="M11" i="8"/>
  <c r="N11" i="8" s="1"/>
  <c r="O11" i="8" s="1"/>
  <c r="P11" i="8" s="1"/>
  <c r="L10" i="8"/>
  <c r="AG10" i="8"/>
  <c r="AH10" i="8" s="1"/>
  <c r="AF9" i="8"/>
  <c r="AI10" i="8"/>
  <c r="AJ10" i="8" s="1"/>
  <c r="I11" i="8"/>
  <c r="J11" i="8" s="1"/>
  <c r="K11" i="8" s="1"/>
  <c r="H10" i="8"/>
  <c r="R11" i="8"/>
  <c r="S11" i="8" s="1"/>
  <c r="T11" i="8" s="1"/>
  <c r="U11" i="8" s="1"/>
  <c r="Q10" i="8"/>
  <c r="AB10" i="8"/>
  <c r="AC10" i="8" s="1"/>
  <c r="AD10" i="8" s="1"/>
  <c r="AE10" i="8" s="1"/>
  <c r="AA9" i="8"/>
  <c r="W11" i="8"/>
  <c r="X11" i="8" s="1"/>
  <c r="Y11" i="8" s="1"/>
  <c r="Z11" i="8" s="1"/>
  <c r="V10" i="8"/>
  <c r="AK7" i="7"/>
  <c r="AA8" i="8" l="1"/>
  <c r="AB9" i="8"/>
  <c r="AC9" i="8" s="1"/>
  <c r="AD9" i="8" s="1"/>
  <c r="AE9" i="8" s="1"/>
  <c r="M10" i="8"/>
  <c r="N10" i="8" s="1"/>
  <c r="O10" i="8" s="1"/>
  <c r="P10" i="8" s="1"/>
  <c r="L9" i="8"/>
  <c r="R10" i="8"/>
  <c r="S10" i="8" s="1"/>
  <c r="T10" i="8"/>
  <c r="U10" i="8" s="1"/>
  <c r="Q9" i="8"/>
  <c r="AG9" i="8"/>
  <c r="AH9" i="8" s="1"/>
  <c r="AI9" i="8" s="1"/>
  <c r="AJ9" i="8" s="1"/>
  <c r="AF8" i="8"/>
  <c r="I10" i="8"/>
  <c r="J10" i="8" s="1"/>
  <c r="K10" i="8" s="1"/>
  <c r="H9" i="8"/>
  <c r="AL8" i="8"/>
  <c r="AM8" i="8" s="1"/>
  <c r="AN8" i="8" s="1"/>
  <c r="AO8" i="8" s="1"/>
  <c r="AK7" i="8"/>
  <c r="W10" i="8"/>
  <c r="X10" i="8" s="1"/>
  <c r="Y10" i="8" s="1"/>
  <c r="Z10" i="8" s="1"/>
  <c r="V9" i="8"/>
  <c r="R9" i="8" l="1"/>
  <c r="S9" i="8" s="1"/>
  <c r="T9" i="8" s="1"/>
  <c r="U9" i="8" s="1"/>
  <c r="Q8" i="8"/>
  <c r="W9" i="8"/>
  <c r="X9" i="8" s="1"/>
  <c r="V8" i="8"/>
  <c r="Y9" i="8"/>
  <c r="AL7" i="8"/>
  <c r="AM7" i="8" s="1"/>
  <c r="AN7" i="8"/>
  <c r="I9" i="8"/>
  <c r="J9" i="8" s="1"/>
  <c r="K9" i="8" s="1"/>
  <c r="H8" i="8"/>
  <c r="M9" i="8"/>
  <c r="N9" i="8" s="1"/>
  <c r="L8" i="8"/>
  <c r="O9" i="8"/>
  <c r="P9" i="8" s="1"/>
  <c r="AG8" i="8"/>
  <c r="AH8" i="8" s="1"/>
  <c r="AI8" i="8" s="1"/>
  <c r="AJ8" i="8" s="1"/>
  <c r="AF7" i="8"/>
  <c r="AB8" i="8"/>
  <c r="AC8" i="8" s="1"/>
  <c r="AD8" i="8" s="1"/>
  <c r="AE8" i="8" s="1"/>
  <c r="AA7" i="8"/>
  <c r="AO7" i="8" l="1"/>
  <c r="AG7" i="8"/>
  <c r="AH7" i="8" s="1"/>
  <c r="AI7" i="8" s="1"/>
  <c r="W8" i="8"/>
  <c r="X8" i="8" s="1"/>
  <c r="Y8" i="8" s="1"/>
  <c r="Z8" i="8" s="1"/>
  <c r="V7" i="8"/>
  <c r="I8" i="8"/>
  <c r="J8" i="8" s="1"/>
  <c r="K8" i="8" s="1"/>
  <c r="H7" i="8"/>
  <c r="Z9" i="8"/>
  <c r="M8" i="8"/>
  <c r="N8" i="8" s="1"/>
  <c r="O8" i="8" s="1"/>
  <c r="P8" i="8" s="1"/>
  <c r="L7" i="8"/>
  <c r="Q7" i="8"/>
  <c r="R8" i="8"/>
  <c r="S8" i="8" s="1"/>
  <c r="T8" i="8" s="1"/>
  <c r="U8" i="8" s="1"/>
  <c r="AB7" i="8"/>
  <c r="AC7" i="8" s="1"/>
  <c r="AD7" i="8" s="1"/>
  <c r="AE7" i="8" l="1"/>
  <c r="I7" i="8"/>
  <c r="J7" i="8" s="1"/>
  <c r="K7" i="8"/>
  <c r="R7" i="8"/>
  <c r="S7" i="8" s="1"/>
  <c r="T7" i="8" s="1"/>
  <c r="W7" i="8"/>
  <c r="M7" i="8"/>
  <c r="N7" i="8" s="1"/>
  <c r="O7" i="8" s="1"/>
  <c r="AJ7" i="8"/>
  <c r="P7" i="8" l="1"/>
  <c r="U7" i="8"/>
  <c r="X7" i="8"/>
  <c r="Y7" i="8" s="1"/>
  <c r="Z7" i="8" l="1"/>
</calcChain>
</file>

<file path=xl/sharedStrings.xml><?xml version="1.0" encoding="utf-8"?>
<sst xmlns="http://schemas.openxmlformats.org/spreadsheetml/2006/main" count="339" uniqueCount="213">
  <si>
    <t>〇評価査定期間について</t>
  </si>
  <si>
    <t>賞与は1年査定。各四半期の評価点数の平均点数で決定。</t>
  </si>
  <si>
    <t>〇等級表と賃金テーブルについて</t>
  </si>
  <si>
    <t>トライアル及びSTは原則３カ月までとする。トライアル及びSTの期間を設けなくても良い。</t>
  </si>
  <si>
    <t>正社員になった場合は、トライアル及びSTで契約した金額と同額の賃金テーブルの等級Ⅱ及びS1にマッピングされる。</t>
  </si>
  <si>
    <t>（例）モバイル事業部　トライアル時月給225000円の場合はトライアル期間終了後、等級Ⅱの225000円のテーブルにマッピングされる。</t>
  </si>
  <si>
    <t>採用時の契約で等級ⅡもしくはS1以外で契約した場合は、その等級の同額のテーブルにマッピングする。</t>
  </si>
  <si>
    <t>試用期間は上長判断で評価点の管理を行うことはあるが、原則評価対象外とし、等級表の等級Ⅱ及びS1の条件を満たせば昇級できる。</t>
  </si>
  <si>
    <t>〇評価点について</t>
  </si>
  <si>
    <t>〇給与査定について</t>
  </si>
  <si>
    <t>評価対象期間の点数を元に変動ピッチを確定し決定する。（絶対査定）</t>
  </si>
  <si>
    <t>昇級した際に、昇級条件を超えて獲得ピッチを得た場合は、上限を超えた分は無効とする。</t>
  </si>
  <si>
    <t>(例）等級Ⅱに昇級し、翌半期で獲得ピッチ５、次の半期で獲得ピッチ6の場合は等級Ⅲに昇級し、基準の給与テーブルにマッピングされる。</t>
  </si>
  <si>
    <t>〇手当について</t>
  </si>
  <si>
    <t>役職手当は役職を任命された当月より月単位で発生する。役職を外れた月より支給は無くなる。任命とは取締役会で承認された組織図に掲載さえていることを指す。</t>
  </si>
  <si>
    <t>業務手当は役職を任命された当月より月単位で発生する。役職を外れた月より支給は無くなる。任命とは取締役会で承認された組織図に掲載さえていることを指す。</t>
  </si>
  <si>
    <t>〇賞与について</t>
  </si>
  <si>
    <t>毎年12月分給与（翌1月支払い分）に、該当の等級の基準額の1か月分に対して評価期間中の評価点を元に変動ピッチを確定し決定する。（絶対査定）</t>
  </si>
  <si>
    <t>12月を含む第四四半期（10月～12月）にevery社の定める試用期間中の場合は賞与の対象外となる。</t>
  </si>
  <si>
    <t>（例）試用期間が8月31日までの場合は9月1か月分の評価点と、第四四半期分の評価点の平均点数を元に賞与の査定対象となる。</t>
  </si>
  <si>
    <t>等級</t>
  </si>
  <si>
    <t>等級基準及び役割</t>
  </si>
  <si>
    <t>モバイル事業部</t>
  </si>
  <si>
    <t>執行役員・本部長</t>
  </si>
  <si>
    <t>Ⅵ</t>
  </si>
  <si>
    <t>昇格・降格条件：取締役会での判断</t>
  </si>
  <si>
    <t>管理本部</t>
  </si>
  <si>
    <t>執行役員・本部長クラス</t>
  </si>
  <si>
    <t>S6</t>
  </si>
  <si>
    <t>本部長</t>
  </si>
  <si>
    <t>Ⅴ</t>
  </si>
  <si>
    <t>部長</t>
  </si>
  <si>
    <t>S5</t>
  </si>
  <si>
    <t>エリアマネージャー</t>
  </si>
  <si>
    <t>S4</t>
  </si>
  <si>
    <t>Ⅳ</t>
  </si>
  <si>
    <t>課長</t>
  </si>
  <si>
    <t>ブロック長</t>
  </si>
  <si>
    <t>S3</t>
  </si>
  <si>
    <t>店長※非役職者</t>
  </si>
  <si>
    <t>係長</t>
  </si>
  <si>
    <t>店長（担当）※非役職者</t>
  </si>
  <si>
    <t>Ⅲ</t>
  </si>
  <si>
    <t>プレイヤー</t>
  </si>
  <si>
    <t>S2</t>
  </si>
  <si>
    <t>Ⅱ</t>
  </si>
  <si>
    <t>昇格条件：エリアマネージャーが推薦し本部長が承認した状態
降格条件：なし
※店長（担当）は本部長判断</t>
  </si>
  <si>
    <t>S1</t>
  </si>
  <si>
    <t>昇格条件：社長（管理本部長兼務）の承認
降格条件：なし</t>
  </si>
  <si>
    <t>トライアル</t>
  </si>
  <si>
    <t>Ⅰ</t>
  </si>
  <si>
    <t>ST</t>
  </si>
  <si>
    <t>【飛び級のルール】
・基準未満ではあるが、課長や部長に拝命されたときには自動で、当該役職の最低ランクまで飛び級によるランク変更を行う。役職が外れても、降格基準に満たない場合にはそのままランクとなる
【飛び級となる課員の役職任命時のルール】
・役職任命する際のルールとして、被推薦者が、査定期間を最低１回は経過していること。その際の結果がマイナス評価ではないこと
・直属の上司が推薦書を作成し、上長が社長承認をとる。なお、推薦発動のタイミングは、目標の基準が高まる（新たな機能の追加含む）
・課員の増員等の管理の必要性が高まった時</t>
  </si>
  <si>
    <t>給与テーブル</t>
  </si>
  <si>
    <t>Ⅰ基本</t>
  </si>
  <si>
    <t>時給</t>
  </si>
  <si>
    <t>みなし残</t>
  </si>
  <si>
    <t>月</t>
  </si>
  <si>
    <t>想定年収</t>
  </si>
  <si>
    <t>Ⅱ基本</t>
  </si>
  <si>
    <t>Ⅲ基本</t>
  </si>
  <si>
    <t>Ⅳ基本</t>
  </si>
  <si>
    <t>Ⅴ基本</t>
  </si>
  <si>
    <t>Ⅵ基本</t>
  </si>
  <si>
    <t>上げピッチ</t>
  </si>
  <si>
    <t>下げピッチ</t>
  </si>
  <si>
    <t>昇給</t>
  </si>
  <si>
    <t>基準</t>
  </si>
  <si>
    <t>降給</t>
  </si>
  <si>
    <t>下限有り</t>
  </si>
  <si>
    <t>S1基本</t>
  </si>
  <si>
    <t>S2基本</t>
  </si>
  <si>
    <t>S3基本</t>
  </si>
  <si>
    <t>S4基本</t>
  </si>
  <si>
    <t>S5基本</t>
  </si>
  <si>
    <t>S6基本</t>
  </si>
  <si>
    <t>基準
（半年）</t>
  </si>
  <si>
    <t>役職手当</t>
  </si>
  <si>
    <t>役職</t>
  </si>
  <si>
    <t>年間</t>
  </si>
  <si>
    <t>月額</t>
  </si>
  <si>
    <t>業務手当</t>
  </si>
  <si>
    <t>店長・担当</t>
  </si>
  <si>
    <t>モバイル事業部は給与テーブル１を適応。入社３カ月以内までは給与テーブル1のトライアル（every社で定める試用期間）に該当。</t>
    <phoneticPr fontId="24"/>
  </si>
  <si>
    <t>管理本部は給与テーブル２を適応。入社３カ月以内までは給与テーブル2のST（every社で定める試用期間）に該当。</t>
    <phoneticPr fontId="24"/>
  </si>
  <si>
    <t>経験者採用はトライアルピッチ2を原則とする。それ以上で設定する場合には本部長判断、社長決裁が必要。</t>
    <rPh sb="0" eb="3">
      <t>ケイケンシャ</t>
    </rPh>
    <rPh sb="3" eb="5">
      <t>サイヨウ</t>
    </rPh>
    <rPh sb="16" eb="18">
      <t>ゲンソク</t>
    </rPh>
    <rPh sb="24" eb="26">
      <t>イジョウ</t>
    </rPh>
    <rPh sb="27" eb="29">
      <t>セッテイ</t>
    </rPh>
    <rPh sb="31" eb="33">
      <t>バアイ</t>
    </rPh>
    <rPh sb="35" eb="38">
      <t>ホンブチョウ</t>
    </rPh>
    <rPh sb="38" eb="40">
      <t>ハンダン</t>
    </rPh>
    <rPh sb="41" eb="45">
      <t>シャチョウケッサイ</t>
    </rPh>
    <rPh sb="46" eb="48">
      <t>ヒツヨウ</t>
    </rPh>
    <phoneticPr fontId="24"/>
  </si>
  <si>
    <t>該当の評価項目に評価対象に四半期の途中でなった場合（異動　昇格　等）には、四半期の月割り計算（もしくは日割り計算）で対象期間中の目標を設定しそれで評価される。（本部長以上決済）</t>
    <rPh sb="0" eb="2">
      <t>ガイトウ</t>
    </rPh>
    <rPh sb="3" eb="7">
      <t>ヒョウカコウモク</t>
    </rPh>
    <rPh sb="26" eb="28">
      <t>イドウ</t>
    </rPh>
    <rPh sb="29" eb="31">
      <t>ショウカク</t>
    </rPh>
    <rPh sb="32" eb="33">
      <t>ナド</t>
    </rPh>
    <rPh sb="80" eb="83">
      <t>ホンブチョウ</t>
    </rPh>
    <rPh sb="83" eb="85">
      <t>イジョウ</t>
    </rPh>
    <rPh sb="85" eb="87">
      <t>ケッサイ</t>
    </rPh>
    <phoneticPr fontId="24"/>
  </si>
  <si>
    <t>賞与の決定において、当初予算の原資に対し利益が著しく低い年度に関しては、上記の評価に対して予算額を下回った分の割合を乗じて減じる場合がある。（取締役会判断）</t>
    <rPh sb="0" eb="2">
      <t>ショウヨ</t>
    </rPh>
    <rPh sb="3" eb="5">
      <t>ケッテイ</t>
    </rPh>
    <rPh sb="10" eb="12">
      <t>トウショ</t>
    </rPh>
    <rPh sb="12" eb="14">
      <t>ヨサン</t>
    </rPh>
    <rPh sb="15" eb="17">
      <t>ゲンシ</t>
    </rPh>
    <rPh sb="18" eb="19">
      <t>タイ</t>
    </rPh>
    <rPh sb="20" eb="22">
      <t>リエキ</t>
    </rPh>
    <rPh sb="23" eb="24">
      <t>イチジル</t>
    </rPh>
    <rPh sb="26" eb="27">
      <t>ヒク</t>
    </rPh>
    <rPh sb="28" eb="30">
      <t>ネンド</t>
    </rPh>
    <rPh sb="31" eb="32">
      <t>カン</t>
    </rPh>
    <rPh sb="36" eb="38">
      <t>ジョウキ</t>
    </rPh>
    <rPh sb="39" eb="41">
      <t>ヒョウカ</t>
    </rPh>
    <rPh sb="42" eb="43">
      <t>タイ</t>
    </rPh>
    <rPh sb="45" eb="48">
      <t>ヨサンガク</t>
    </rPh>
    <rPh sb="49" eb="51">
      <t>シタマワ</t>
    </rPh>
    <rPh sb="53" eb="54">
      <t>ブン</t>
    </rPh>
    <rPh sb="55" eb="57">
      <t>ワリアイ</t>
    </rPh>
    <rPh sb="58" eb="59">
      <t>ジョウ</t>
    </rPh>
    <rPh sb="61" eb="62">
      <t>ゲン</t>
    </rPh>
    <rPh sb="64" eb="66">
      <t>バアイ</t>
    </rPh>
    <rPh sb="71" eb="75">
      <t>トリシマリヤクカイ</t>
    </rPh>
    <rPh sb="75" eb="77">
      <t>ハンダン</t>
    </rPh>
    <phoneticPr fontId="24"/>
  </si>
  <si>
    <t>〇割増し賃金について</t>
    <rPh sb="1" eb="3">
      <t>ワリマ</t>
    </rPh>
    <rPh sb="4" eb="6">
      <t>チンギン</t>
    </rPh>
    <phoneticPr fontId="24"/>
  </si>
  <si>
    <t>入社3カ月まで。※管理部長決済で期間短縮有り。</t>
    <rPh sb="9" eb="13">
      <t>カンリブチョウ</t>
    </rPh>
    <rPh sb="13" eb="15">
      <t>ケッサイ</t>
    </rPh>
    <rPh sb="16" eb="21">
      <t>キカンタンシュクア</t>
    </rPh>
    <phoneticPr fontId="24"/>
  </si>
  <si>
    <t>入社3カ月まで。※本部長決済で期間短縮有り。</t>
    <rPh sb="9" eb="12">
      <t>ホンブチョウ</t>
    </rPh>
    <rPh sb="12" eb="14">
      <t>ケッサイ</t>
    </rPh>
    <rPh sb="15" eb="17">
      <t>キカン</t>
    </rPh>
    <rPh sb="17" eb="20">
      <t>タンシュクア</t>
    </rPh>
    <phoneticPr fontId="24"/>
  </si>
  <si>
    <t>評価点</t>
    <rPh sb="0" eb="2">
      <t>ヒョウカ</t>
    </rPh>
    <rPh sb="2" eb="3">
      <t>テン</t>
    </rPh>
    <phoneticPr fontId="24"/>
  </si>
  <si>
    <t>変動ピッチ数</t>
    <rPh sb="0" eb="2">
      <t>ヘンドウ</t>
    </rPh>
    <rPh sb="5" eb="6">
      <t>スウ</t>
    </rPh>
    <phoneticPr fontId="24"/>
  </si>
  <si>
    <t>~</t>
  </si>
  <si>
    <t>+8</t>
    <phoneticPr fontId="24"/>
  </si>
  <si>
    <t>+7</t>
    <phoneticPr fontId="24"/>
  </si>
  <si>
    <t>+6</t>
    <phoneticPr fontId="24"/>
  </si>
  <si>
    <t>+5</t>
    <phoneticPr fontId="24"/>
  </si>
  <si>
    <t>~</t>
    <phoneticPr fontId="24"/>
  </si>
  <si>
    <t>+4</t>
    <phoneticPr fontId="24"/>
  </si>
  <si>
    <t>+3</t>
    <phoneticPr fontId="24"/>
  </si>
  <si>
    <t>+2</t>
    <phoneticPr fontId="24"/>
  </si>
  <si>
    <t>+1</t>
    <phoneticPr fontId="24"/>
  </si>
  <si>
    <t>獲得ポイント</t>
    <rPh sb="0" eb="2">
      <t>カクトク</t>
    </rPh>
    <phoneticPr fontId="24"/>
  </si>
  <si>
    <t>〇変動ピッチと獲得ポイント</t>
    <rPh sb="1" eb="3">
      <t>ヘンドウ</t>
    </rPh>
    <rPh sb="7" eb="9">
      <t>カクトク</t>
    </rPh>
    <phoneticPr fontId="22"/>
  </si>
  <si>
    <t>評価点により変動ピッチが決定する。変動ピッチは給与テーブルのマッピングの決定に使われる。評価のタイミングで現在マッピングされているピッチを起点に変動する。</t>
    <rPh sb="0" eb="3">
      <t>ヒョウカテン</t>
    </rPh>
    <rPh sb="6" eb="8">
      <t>ヘンドウ</t>
    </rPh>
    <rPh sb="12" eb="14">
      <t>ケッテイ</t>
    </rPh>
    <rPh sb="17" eb="19">
      <t>ヘンドウ</t>
    </rPh>
    <rPh sb="23" eb="25">
      <t>キュウヨ</t>
    </rPh>
    <rPh sb="36" eb="38">
      <t>ケッテイ</t>
    </rPh>
    <rPh sb="39" eb="40">
      <t>ツカ</t>
    </rPh>
    <rPh sb="44" eb="46">
      <t>ヒョウカ</t>
    </rPh>
    <rPh sb="53" eb="55">
      <t>ゲンザイ</t>
    </rPh>
    <rPh sb="69" eb="71">
      <t>キテン</t>
    </rPh>
    <rPh sb="72" eb="74">
      <t>ヘンドウ</t>
    </rPh>
    <phoneticPr fontId="22"/>
  </si>
  <si>
    <t>評価点により獲得ポイントが決定する。獲得ポイント累計数は等級の昇降格に使われる。給与テーブル上のピッチとは関係なく、獲得していった累計によって決定する。</t>
    <rPh sb="0" eb="3">
      <t>ヒョウカテン</t>
    </rPh>
    <rPh sb="6" eb="8">
      <t>カクトク</t>
    </rPh>
    <rPh sb="13" eb="15">
      <t>ケッテイ</t>
    </rPh>
    <rPh sb="40" eb="42">
      <t>キュウヨ</t>
    </rPh>
    <rPh sb="46" eb="47">
      <t>ジョウ</t>
    </rPh>
    <rPh sb="53" eb="55">
      <t>カンケイ</t>
    </rPh>
    <rPh sb="58" eb="60">
      <t>カクトク</t>
    </rPh>
    <rPh sb="65" eb="67">
      <t>ルイケイ</t>
    </rPh>
    <rPh sb="71" eb="73">
      <t>ケッテイ</t>
    </rPh>
    <phoneticPr fontId="22"/>
  </si>
  <si>
    <t>モバイル事業部</t>
    <rPh sb="4" eb="7">
      <t>ジギョウブ</t>
    </rPh>
    <phoneticPr fontId="24"/>
  </si>
  <si>
    <t>＋8</t>
    <phoneticPr fontId="24"/>
  </si>
  <si>
    <t>＋7</t>
    <phoneticPr fontId="24"/>
  </si>
  <si>
    <t>＋6</t>
    <phoneticPr fontId="24"/>
  </si>
  <si>
    <t>-1</t>
    <phoneticPr fontId="24"/>
  </si>
  <si>
    <t>-2</t>
  </si>
  <si>
    <t>-3</t>
  </si>
  <si>
    <t>-4</t>
  </si>
  <si>
    <t>-5</t>
  </si>
  <si>
    <t>管理本部</t>
    <rPh sb="0" eb="4">
      <t>カンリホンブ</t>
    </rPh>
    <phoneticPr fontId="24"/>
  </si>
  <si>
    <t>※業績により全体に係数がかかることがある。</t>
    <rPh sb="1" eb="3">
      <t>ギョウセキ</t>
    </rPh>
    <rPh sb="6" eb="8">
      <t>ゼンタイ</t>
    </rPh>
    <rPh sb="9" eb="11">
      <t>ケイスウ</t>
    </rPh>
    <phoneticPr fontId="22"/>
  </si>
  <si>
    <t>インセンティブ条件２０２６年</t>
    <rPh sb="7" eb="9">
      <t>ジョウケン</t>
    </rPh>
    <rPh sb="13" eb="14">
      <t>ネン</t>
    </rPh>
    <phoneticPr fontId="24"/>
  </si>
  <si>
    <t>■ワンオペ勤務開始～</t>
    <rPh sb="5" eb="7">
      <t>キンム</t>
    </rPh>
    <rPh sb="7" eb="9">
      <t>カイシ</t>
    </rPh>
    <phoneticPr fontId="24"/>
  </si>
  <si>
    <t>70,000円以上</t>
    <rPh sb="6" eb="7">
      <t>エン</t>
    </rPh>
    <rPh sb="7" eb="9">
      <t>イジョウ</t>
    </rPh>
    <phoneticPr fontId="24"/>
  </si>
  <si>
    <t>3,000円支給</t>
    <rPh sb="1" eb="6">
      <t>000エン</t>
    </rPh>
    <rPh sb="6" eb="8">
      <t>シキュウ</t>
    </rPh>
    <phoneticPr fontId="24"/>
  </si>
  <si>
    <t>■個人売上割当</t>
    <rPh sb="1" eb="5">
      <t>コジンウリアゲ</t>
    </rPh>
    <rPh sb="5" eb="7">
      <t>ワリアテ</t>
    </rPh>
    <phoneticPr fontId="24"/>
  </si>
  <si>
    <t>1名勤務</t>
    <rPh sb="0" eb="2">
      <t>イチメイ</t>
    </rPh>
    <rPh sb="2" eb="4">
      <t>キンム</t>
    </rPh>
    <phoneticPr fontId="24"/>
  </si>
  <si>
    <t>一般</t>
    <rPh sb="0" eb="2">
      <t>イッパン</t>
    </rPh>
    <phoneticPr fontId="24"/>
  </si>
  <si>
    <t>2名勤務</t>
    <rPh sb="2" eb="4">
      <t>キンム</t>
    </rPh>
    <phoneticPr fontId="24"/>
  </si>
  <si>
    <t>3名勤務</t>
    <rPh sb="2" eb="4">
      <t>キンム</t>
    </rPh>
    <phoneticPr fontId="24"/>
  </si>
  <si>
    <t>■インセンティブ付与条件</t>
    <phoneticPr fontId="24"/>
  </si>
  <si>
    <t>１</t>
    <phoneticPr fontId="24"/>
  </si>
  <si>
    <t>Googleレビュー獲得数 【月間20件以上】</t>
    <rPh sb="10" eb="12">
      <t>カクトク</t>
    </rPh>
    <rPh sb="12" eb="13">
      <t>スウ</t>
    </rPh>
    <rPh sb="15" eb="17">
      <t>ゲッカン</t>
    </rPh>
    <rPh sb="19" eb="20">
      <t>ケン</t>
    </rPh>
    <rPh sb="20" eb="22">
      <t>イジョウ</t>
    </rPh>
    <phoneticPr fontId="24"/>
  </si>
  <si>
    <t>２</t>
    <phoneticPr fontId="24"/>
  </si>
  <si>
    <t>個人売上月間一日平均売上３００００円以上</t>
    <rPh sb="0" eb="4">
      <t>コジンウリアゲ</t>
    </rPh>
    <rPh sb="4" eb="6">
      <t>ゲッカン</t>
    </rPh>
    <rPh sb="6" eb="8">
      <t>イチニチ</t>
    </rPh>
    <rPh sb="8" eb="10">
      <t>ヘイキン</t>
    </rPh>
    <rPh sb="10" eb="12">
      <t>ウリアゲ</t>
    </rPh>
    <rPh sb="17" eb="18">
      <t>エン</t>
    </rPh>
    <rPh sb="18" eb="20">
      <t>イジョウ</t>
    </rPh>
    <phoneticPr fontId="24"/>
  </si>
  <si>
    <t>３</t>
    <phoneticPr fontId="24"/>
  </si>
  <si>
    <t>４</t>
    <phoneticPr fontId="24"/>
  </si>
  <si>
    <t>■以下の場合はインセンティブの支給なし</t>
    <rPh sb="15" eb="17">
      <t>シキュウ</t>
    </rPh>
    <phoneticPr fontId="24"/>
  </si>
  <si>
    <t>過失による修理事故3件以上</t>
    <rPh sb="0" eb="2">
      <t>カシツ</t>
    </rPh>
    <rPh sb="5" eb="9">
      <t>シュウリジコ</t>
    </rPh>
    <rPh sb="10" eb="11">
      <t>ケン</t>
    </rPh>
    <rPh sb="11" eb="13">
      <t>イジョウ</t>
    </rPh>
    <phoneticPr fontId="24"/>
  </si>
  <si>
    <t>開店遅延</t>
    <rPh sb="0" eb="4">
      <t>カイテンチエン</t>
    </rPh>
    <phoneticPr fontId="24"/>
  </si>
  <si>
    <t>3</t>
    <phoneticPr fontId="24"/>
  </si>
  <si>
    <t>勤務態度等が著しく悪い場合</t>
    <rPh sb="0" eb="2">
      <t>キンム</t>
    </rPh>
    <rPh sb="2" eb="4">
      <t>タイド</t>
    </rPh>
    <rPh sb="4" eb="5">
      <t>トウ</t>
    </rPh>
    <rPh sb="6" eb="7">
      <t>イチジル</t>
    </rPh>
    <rPh sb="9" eb="10">
      <t>ワル</t>
    </rPh>
    <rPh sb="11" eb="13">
      <t>バアイ</t>
    </rPh>
    <phoneticPr fontId="24"/>
  </si>
  <si>
    <t>4</t>
    <phoneticPr fontId="24"/>
  </si>
  <si>
    <t>接客態度などが原因で星１レビュー</t>
    <rPh sb="0" eb="2">
      <t>セッキャク</t>
    </rPh>
    <rPh sb="2" eb="4">
      <t>タイド</t>
    </rPh>
    <rPh sb="7" eb="9">
      <t>ゲンイン</t>
    </rPh>
    <rPh sb="10" eb="11">
      <t>ホシ</t>
    </rPh>
    <phoneticPr fontId="24"/>
  </si>
  <si>
    <t>5</t>
    <phoneticPr fontId="24"/>
  </si>
  <si>
    <t>不正行為が発覚した場合</t>
    <rPh sb="0" eb="2">
      <t>フセイ</t>
    </rPh>
    <rPh sb="2" eb="4">
      <t>コウイ</t>
    </rPh>
    <rPh sb="5" eb="7">
      <t>ハッカク</t>
    </rPh>
    <rPh sb="9" eb="11">
      <t>バアイ</t>
    </rPh>
    <phoneticPr fontId="24"/>
  </si>
  <si>
    <t>6</t>
  </si>
  <si>
    <t>報告義務違反（提出物含む）</t>
    <rPh sb="0" eb="6">
      <t>ホウコクギムイハン</t>
    </rPh>
    <rPh sb="7" eb="10">
      <t>テイシュツブツ</t>
    </rPh>
    <rPh sb="10" eb="11">
      <t>フク</t>
    </rPh>
    <phoneticPr fontId="24"/>
  </si>
  <si>
    <t>〇インセンティブについて</t>
    <phoneticPr fontId="22"/>
  </si>
  <si>
    <t>インセンティブは毎月支払い.</t>
    <phoneticPr fontId="22"/>
  </si>
  <si>
    <t>（例）管理本部でS4 315000円で3カ月はST（試用期間）で契約した場合、3カ月終了後はS4の315000円で契約。</t>
    <phoneticPr fontId="22"/>
  </si>
  <si>
    <t>点数100点を評価上限とする。それ以上は切り捨てとする。</t>
    <rPh sb="7" eb="11">
      <t>ヒョウカジョウゲン</t>
    </rPh>
    <rPh sb="17" eb="19">
      <t>イジョウ</t>
    </rPh>
    <rPh sb="20" eb="21">
      <t>キ</t>
    </rPh>
    <rPh sb="22" eb="23">
      <t>ス</t>
    </rPh>
    <phoneticPr fontId="22"/>
  </si>
  <si>
    <t>基準額に役職手当は含まれない。</t>
    <rPh sb="0" eb="3">
      <t>キジュンガク</t>
    </rPh>
    <rPh sb="4" eb="8">
      <t>ヤクショクテアテ</t>
    </rPh>
    <rPh sb="9" eb="10">
      <t>フク</t>
    </rPh>
    <phoneticPr fontId="24"/>
  </si>
  <si>
    <t>また大幅に賞与原資を超過する場合には全体に係数を乗じる場合がある。（取締役会判断）</t>
    <rPh sb="2" eb="4">
      <t>オオハバ</t>
    </rPh>
    <rPh sb="5" eb="9">
      <t>ショウヨゲンシ</t>
    </rPh>
    <rPh sb="10" eb="12">
      <t>チョウカ</t>
    </rPh>
    <rPh sb="14" eb="16">
      <t>バアイ</t>
    </rPh>
    <rPh sb="18" eb="20">
      <t>ゼンタイ</t>
    </rPh>
    <rPh sb="21" eb="23">
      <t>ケイスウ</t>
    </rPh>
    <rPh sb="24" eb="25">
      <t>ジョウ</t>
    </rPh>
    <rPh sb="27" eb="29">
      <t>バアイ</t>
    </rPh>
    <rPh sb="34" eb="40">
      <t>トリシマリヤクカイハンダン</t>
    </rPh>
    <phoneticPr fontId="24"/>
  </si>
  <si>
    <t>主任とは複数人勤務店舗の場合に存在し、役職により優先順が決定する</t>
    <rPh sb="0" eb="2">
      <t>シュニン</t>
    </rPh>
    <rPh sb="4" eb="7">
      <t>フクスウニン</t>
    </rPh>
    <rPh sb="7" eb="11">
      <t>キンムテンポ</t>
    </rPh>
    <rPh sb="12" eb="14">
      <t>バアイ</t>
    </rPh>
    <rPh sb="15" eb="17">
      <t>ソンザイ</t>
    </rPh>
    <rPh sb="19" eb="21">
      <t>ヤクショク</t>
    </rPh>
    <rPh sb="24" eb="27">
      <t>ユウセンジュン</t>
    </rPh>
    <rPh sb="28" eb="30">
      <t>ケッテイ</t>
    </rPh>
    <phoneticPr fontId="22"/>
  </si>
  <si>
    <t>エリマネ&lt;店長　ブロック長&lt;エリマネ　エリマネ&lt;担当　ブロック長&lt;店長　ブロック長&lt;担当　担当&lt;店長　※特例は本部長判断で認められる。</t>
    <rPh sb="52" eb="54">
      <t>トクレイ</t>
    </rPh>
    <rPh sb="55" eb="60">
      <t>ホンブチョウハンダン</t>
    </rPh>
    <rPh sb="61" eb="62">
      <t>ミト</t>
    </rPh>
    <phoneticPr fontId="22"/>
  </si>
  <si>
    <t>ワンオペ開始（一人立ち）とは、エリアマネージャーが決定する。それと同時にインセンティブが発生する。</t>
    <rPh sb="4" eb="6">
      <t>カイシ</t>
    </rPh>
    <rPh sb="7" eb="10">
      <t>ヒトリダ</t>
    </rPh>
    <rPh sb="25" eb="27">
      <t>ケッテイ</t>
    </rPh>
    <rPh sb="33" eb="35">
      <t>ドウジ</t>
    </rPh>
    <rPh sb="44" eb="46">
      <t>ハッセイ</t>
    </rPh>
    <phoneticPr fontId="22"/>
  </si>
  <si>
    <t>主任(運用ルールに定義あり）</t>
    <rPh sb="0" eb="2">
      <t>シュニン</t>
    </rPh>
    <rPh sb="3" eb="5">
      <t>ウンヨウ</t>
    </rPh>
    <rPh sb="9" eb="11">
      <t>テイギ</t>
    </rPh>
    <phoneticPr fontId="24"/>
  </si>
  <si>
    <t>例）入社時経験者で等級Ⅰのピッチ2でスタートした場合は、その時点では累計ポイントは0となり、その後の獲得ポイントの累計で昇降格の対象となる。</t>
    <rPh sb="0" eb="1">
      <t>レイ</t>
    </rPh>
    <rPh sb="2" eb="5">
      <t>ニュウシャジ</t>
    </rPh>
    <rPh sb="5" eb="8">
      <t>ケイケンシャ</t>
    </rPh>
    <rPh sb="9" eb="11">
      <t>トウキュウ</t>
    </rPh>
    <rPh sb="24" eb="26">
      <t>バアイ</t>
    </rPh>
    <rPh sb="30" eb="32">
      <t>ジテン</t>
    </rPh>
    <rPh sb="34" eb="36">
      <t>ルイケイ</t>
    </rPh>
    <rPh sb="48" eb="49">
      <t>ゴ</t>
    </rPh>
    <rPh sb="50" eb="52">
      <t>カクトク</t>
    </rPh>
    <rPh sb="57" eb="59">
      <t>ルイケイ</t>
    </rPh>
    <rPh sb="60" eb="63">
      <t>ショウコウカク</t>
    </rPh>
    <rPh sb="64" eb="66">
      <t>タイショウ</t>
    </rPh>
    <phoneticPr fontId="22"/>
  </si>
  <si>
    <t>例）原資確保が予算の6割になった場合、評価額に6割を乗じた支給額とする、等。</t>
    <rPh sb="0" eb="1">
      <t>レイ</t>
    </rPh>
    <rPh sb="2" eb="6">
      <t>ゲンシカクホ</t>
    </rPh>
    <rPh sb="7" eb="9">
      <t>ヨサン</t>
    </rPh>
    <rPh sb="11" eb="12">
      <t>ワリ</t>
    </rPh>
    <rPh sb="16" eb="18">
      <t>バアイ</t>
    </rPh>
    <rPh sb="19" eb="22">
      <t>ヒョウカガク</t>
    </rPh>
    <rPh sb="24" eb="25">
      <t>ワリ</t>
    </rPh>
    <rPh sb="26" eb="27">
      <t>ジョウ</t>
    </rPh>
    <rPh sb="29" eb="32">
      <t>シキュウガク</t>
    </rPh>
    <rPh sb="36" eb="37">
      <t>ナド</t>
    </rPh>
    <phoneticPr fontId="24"/>
  </si>
  <si>
    <t>基本給に役職手当を加えたものを173.33で割り、それを元に計算する。</t>
    <rPh sb="0" eb="3">
      <t>キホンキュウ</t>
    </rPh>
    <rPh sb="4" eb="8">
      <t>ヤクショクテアテ</t>
    </rPh>
    <rPh sb="9" eb="10">
      <t>クワ</t>
    </rPh>
    <rPh sb="22" eb="23">
      <t>ワリ</t>
    </rPh>
    <rPh sb="28" eb="29">
      <t>モト</t>
    </rPh>
    <rPh sb="30" eb="32">
      <t>ケイサン</t>
    </rPh>
    <phoneticPr fontId="24"/>
  </si>
  <si>
    <t>ワンオペ開始（一人立ち）した日からインセンティブが発生。</t>
    <rPh sb="4" eb="6">
      <t>カイシ</t>
    </rPh>
    <rPh sb="7" eb="10">
      <t>ヒトリダ</t>
    </rPh>
    <rPh sb="14" eb="15">
      <t>ヒ</t>
    </rPh>
    <rPh sb="25" eb="27">
      <t>ハッセイ</t>
    </rPh>
    <phoneticPr fontId="22"/>
  </si>
  <si>
    <t>-6</t>
  </si>
  <si>
    <t>〇故意の虚偽の報告</t>
    <rPh sb="1" eb="3">
      <t>コイ</t>
    </rPh>
    <rPh sb="4" eb="6">
      <t>キョギ</t>
    </rPh>
    <rPh sb="7" eb="9">
      <t>ホウコク</t>
    </rPh>
    <phoneticPr fontId="22"/>
  </si>
  <si>
    <t>評価項目の申請にあたり故意に虚偽の報告をした場合はその四半期は評価は0点とする。</t>
    <rPh sb="0" eb="4">
      <t>ヒョウカコウモク</t>
    </rPh>
    <rPh sb="5" eb="7">
      <t>シンセイ</t>
    </rPh>
    <rPh sb="11" eb="13">
      <t>コイ</t>
    </rPh>
    <rPh sb="14" eb="16">
      <t>キョギ</t>
    </rPh>
    <rPh sb="17" eb="19">
      <t>ホウコク</t>
    </rPh>
    <rPh sb="22" eb="24">
      <t>バアイ</t>
    </rPh>
    <rPh sb="27" eb="30">
      <t>シハンキ</t>
    </rPh>
    <rPh sb="31" eb="33">
      <t>ヒョウカ</t>
    </rPh>
    <rPh sb="35" eb="36">
      <t>テン</t>
    </rPh>
    <phoneticPr fontId="22"/>
  </si>
  <si>
    <t>ブロック長(課長）</t>
    <rPh sb="6" eb="8">
      <t>カチョウ</t>
    </rPh>
    <phoneticPr fontId="22"/>
  </si>
  <si>
    <t>エリアマネージャー（部長）</t>
    <rPh sb="10" eb="12">
      <t>ブチョウ</t>
    </rPh>
    <phoneticPr fontId="22"/>
  </si>
  <si>
    <t>本部長クラス（本部長）</t>
    <rPh sb="7" eb="10">
      <t>ホンブチョウ</t>
    </rPh>
    <phoneticPr fontId="22"/>
  </si>
  <si>
    <t>課長</t>
    <phoneticPr fontId="22"/>
  </si>
  <si>
    <t>係長</t>
    <rPh sb="0" eb="2">
      <t>カカリチョウ</t>
    </rPh>
    <phoneticPr fontId="22"/>
  </si>
  <si>
    <t>S6</t>
    <phoneticPr fontId="22"/>
  </si>
  <si>
    <t>S7</t>
    <phoneticPr fontId="22"/>
  </si>
  <si>
    <t>部長</t>
    <phoneticPr fontId="22"/>
  </si>
  <si>
    <t>本部長</t>
    <rPh sb="0" eb="1">
      <t>ホン</t>
    </rPh>
    <phoneticPr fontId="22"/>
  </si>
  <si>
    <t>昇格条件：獲得ポイント累計で10ポイント
降格条件：取締役会での判断</t>
    <rPh sb="5" eb="7">
      <t>カクトク</t>
    </rPh>
    <rPh sb="11" eb="13">
      <t>ルイケイ</t>
    </rPh>
    <phoneticPr fontId="22"/>
  </si>
  <si>
    <t>昇格条件：獲得ポイント累計で7ポイント
降格条件:取締役会での判断</t>
    <rPh sb="5" eb="7">
      <t>カクトク</t>
    </rPh>
    <rPh sb="11" eb="13">
      <t>ルイケイ</t>
    </rPh>
    <phoneticPr fontId="22"/>
  </si>
  <si>
    <t>昇格条件：獲得ポイント累計で7ポイント
降格条件：取締役会での判断</t>
    <rPh sb="5" eb="7">
      <t>カクトク</t>
    </rPh>
    <rPh sb="11" eb="13">
      <t>ルイケイ</t>
    </rPh>
    <phoneticPr fontId="22"/>
  </si>
  <si>
    <t>係長</t>
    <phoneticPr fontId="22"/>
  </si>
  <si>
    <t>エリアマネージャー</t>
    <phoneticPr fontId="22"/>
  </si>
  <si>
    <t>S7基本</t>
    <phoneticPr fontId="22"/>
  </si>
  <si>
    <t>Ⅱ</t>
    <phoneticPr fontId="24"/>
  </si>
  <si>
    <t>Ⅲ</t>
    <phoneticPr fontId="24"/>
  </si>
  <si>
    <t>Ⅳ</t>
    <phoneticPr fontId="24"/>
  </si>
  <si>
    <t>Ⅴ</t>
    <phoneticPr fontId="24"/>
  </si>
  <si>
    <t>Ⅵ</t>
    <phoneticPr fontId="24"/>
  </si>
  <si>
    <t>2</t>
    <phoneticPr fontId="24"/>
  </si>
  <si>
    <t>1</t>
    <phoneticPr fontId="24"/>
  </si>
  <si>
    <t>-5</t>
    <phoneticPr fontId="22"/>
  </si>
  <si>
    <t>-2</t>
    <phoneticPr fontId="22"/>
  </si>
  <si>
    <t>-3</t>
    <phoneticPr fontId="22"/>
  </si>
  <si>
    <t>-4</t>
    <phoneticPr fontId="22"/>
  </si>
  <si>
    <t>-6</t>
    <phoneticPr fontId="22"/>
  </si>
  <si>
    <t>等級/ピッチ</t>
    <rPh sb="0" eb="2">
      <t>トウキュウ</t>
    </rPh>
    <phoneticPr fontId="22"/>
  </si>
  <si>
    <t>賞与テーブル基本給</t>
    <rPh sb="0" eb="2">
      <t>ショウヨ</t>
    </rPh>
    <rPh sb="6" eb="9">
      <t>キホンキュウ</t>
    </rPh>
    <phoneticPr fontId="22"/>
  </si>
  <si>
    <t>S1</t>
    <phoneticPr fontId="24"/>
  </si>
  <si>
    <t>S2</t>
    <phoneticPr fontId="24"/>
  </si>
  <si>
    <t>S3</t>
    <phoneticPr fontId="24"/>
  </si>
  <si>
    <t>S4</t>
    <phoneticPr fontId="24"/>
  </si>
  <si>
    <t>S5</t>
    <phoneticPr fontId="24"/>
  </si>
  <si>
    <t>S6</t>
    <phoneticPr fontId="24"/>
  </si>
  <si>
    <t>S7</t>
    <phoneticPr fontId="24"/>
  </si>
  <si>
    <t>賞与テーブル基本給</t>
    <phoneticPr fontId="24"/>
  </si>
  <si>
    <t>等級＆ピッチ</t>
    <rPh sb="0" eb="2">
      <t>トウキュウ</t>
    </rPh>
    <phoneticPr fontId="24"/>
  </si>
  <si>
    <t>給与は半期査定（例）1Q＋2Qの平均評価点数で決定し 7月分以降変更。8月から支給額は変更し7月分の過不足分は8月分で調整支払いと１カ月遅れでの反映になります。</t>
    <rPh sb="67" eb="68">
      <t>ゲツ</t>
    </rPh>
    <rPh sb="68" eb="69">
      <t>オク</t>
    </rPh>
    <rPh sb="72" eb="74">
      <t>ハンエイ</t>
    </rPh>
    <phoneticPr fontId="22"/>
  </si>
  <si>
    <t>昇格条件：獲得ポイント累計で7ポイント
降格条件：取締役会で判断</t>
    <rPh sb="5" eb="7">
      <t>カクトク</t>
    </rPh>
    <rPh sb="11" eb="13">
      <t>ルイケイ</t>
    </rPh>
    <phoneticPr fontId="22"/>
  </si>
  <si>
    <t>昇格条件：獲得ポイント累計で7ポイントかつ店長（担当）業務を任せられると本部長が認めたもの
降格条件：獲得ポイント累計がマイナス10ポイント以下</t>
    <rPh sb="5" eb="7">
      <t>カクトク</t>
    </rPh>
    <rPh sb="11" eb="13">
      <t>ルイケイ</t>
    </rPh>
    <rPh sb="51" eb="53">
      <t>カクトク</t>
    </rPh>
    <rPh sb="57" eb="59">
      <t>ルイケイ</t>
    </rPh>
    <phoneticPr fontId="22"/>
  </si>
  <si>
    <t>昇格条件：獲得ポイント累計で4ポイント
降格条件：獲得ポイント累計がマイナス10ポイント以下   
※店長（担当）は本部長判断</t>
    <rPh sb="5" eb="7">
      <t>カクトク</t>
    </rPh>
    <rPh sb="11" eb="13">
      <t>ルイケイ</t>
    </rPh>
    <rPh sb="25" eb="27">
      <t>カクトク</t>
    </rPh>
    <rPh sb="31" eb="33">
      <t>ルイケイ</t>
    </rPh>
    <phoneticPr fontId="22"/>
  </si>
  <si>
    <t>昇格条件：獲得ポイント累計で4ポイント
降格条件：獲得ポイント累計でマイナス10ポイント</t>
    <rPh sb="5" eb="7">
      <t>カクトク</t>
    </rPh>
    <rPh sb="11" eb="13">
      <t>ルイケイ</t>
    </rPh>
    <rPh sb="25" eb="27">
      <t>カクトク</t>
    </rPh>
    <rPh sb="31" eb="33">
      <t>ルイケイ</t>
    </rPh>
    <phoneticPr fontId="22"/>
  </si>
  <si>
    <t>昇格条件：獲得ポイント累計で4ポイント
降格条件：なし</t>
    <rPh sb="5" eb="7">
      <t>カクトク</t>
    </rPh>
    <rPh sb="11" eb="13">
      <t>ルイケイ</t>
    </rPh>
    <phoneticPr fontId="22"/>
  </si>
  <si>
    <t>兼務の場合は上の役職に紐づく手当が適応される。（例）ブロック長とエリアマネージャー兼務の場合はエリアマネージャーの役職手当が適応。</t>
    <rPh sb="0" eb="2">
      <t>ケンム</t>
    </rPh>
    <rPh sb="3" eb="5">
      <t>バアイ</t>
    </rPh>
    <rPh sb="6" eb="7">
      <t>ウエ</t>
    </rPh>
    <rPh sb="8" eb="10">
      <t>ヤクショク</t>
    </rPh>
    <rPh sb="11" eb="12">
      <t>ヒモ</t>
    </rPh>
    <rPh sb="14" eb="16">
      <t>テアテ</t>
    </rPh>
    <rPh sb="17" eb="19">
      <t>テキオウ</t>
    </rPh>
    <rPh sb="24" eb="25">
      <t>レイ</t>
    </rPh>
    <rPh sb="30" eb="31">
      <t>チョウ</t>
    </rPh>
    <rPh sb="41" eb="43">
      <t>ケンム</t>
    </rPh>
    <rPh sb="44" eb="46">
      <t>バアイ</t>
    </rPh>
    <rPh sb="57" eb="61">
      <t>ヤクショクテアテ</t>
    </rPh>
    <rPh sb="62" eb="64">
      <t>テキオウ</t>
    </rPh>
    <phoneticPr fontId="22"/>
  </si>
  <si>
    <t>給与は前回確定した等級のピッチを起点に累積されるが、賞与は毎回０を起点にその年の獲得ピッチにより確定する。</t>
    <rPh sb="0" eb="2">
      <t>キュウヨ</t>
    </rPh>
    <rPh sb="3" eb="5">
      <t>ゼンカイ</t>
    </rPh>
    <rPh sb="5" eb="7">
      <t>カクテイ</t>
    </rPh>
    <rPh sb="9" eb="11">
      <t>トウキュウ</t>
    </rPh>
    <rPh sb="16" eb="18">
      <t>キテン</t>
    </rPh>
    <rPh sb="19" eb="21">
      <t>ルイセキ</t>
    </rPh>
    <rPh sb="26" eb="28">
      <t>ショウヨ</t>
    </rPh>
    <rPh sb="29" eb="31">
      <t>マイカイ</t>
    </rPh>
    <rPh sb="33" eb="35">
      <t>キテン</t>
    </rPh>
    <rPh sb="38" eb="39">
      <t>トシ</t>
    </rPh>
    <rPh sb="40" eb="42">
      <t>カクトク</t>
    </rPh>
    <rPh sb="48" eb="50">
      <t>カクテイ</t>
    </rPh>
    <phoneticPr fontId="22"/>
  </si>
  <si>
    <t>1件</t>
    <rPh sb="1" eb="2">
      <t>ケン</t>
    </rPh>
    <phoneticPr fontId="22"/>
  </si>
  <si>
    <t>300円支給</t>
    <rPh sb="3" eb="4">
      <t>エン</t>
    </rPh>
    <rPh sb="4" eb="6">
      <t>シキュウ</t>
    </rPh>
    <phoneticPr fontId="22"/>
  </si>
  <si>
    <t>個人売上インセンティブ</t>
    <rPh sb="0" eb="4">
      <t>コジンウリアゲ</t>
    </rPh>
    <phoneticPr fontId="24"/>
  </si>
  <si>
    <t>コーティングインセンティブ</t>
    <phoneticPr fontId="22"/>
  </si>
  <si>
    <t>※獲得状況やコーティング部位問わず獲得した件数に準じる。2026.1.1 より適応。</t>
    <rPh sb="1" eb="3">
      <t>カクトク</t>
    </rPh>
    <rPh sb="3" eb="5">
      <t>ジョウキョウ</t>
    </rPh>
    <rPh sb="12" eb="14">
      <t>ブイ</t>
    </rPh>
    <rPh sb="14" eb="15">
      <t>ト</t>
    </rPh>
    <rPh sb="17" eb="19">
      <t>カクトク</t>
    </rPh>
    <rPh sb="21" eb="23">
      <t>ケンスウ</t>
    </rPh>
    <rPh sb="24" eb="25">
      <t>ジュン</t>
    </rPh>
    <rPh sb="39" eb="41">
      <t>テキオウ</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</si>
</sst>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6" formatCode="&quot;¥&quot;#,##0;[Red]&quot;¥&quot;\-#,##0"/>
    <numFmt numFmtId="176" formatCode="#,##0_);[Red]\(#,##0\)"/>
    <numFmt numFmtId="177" formatCode="&quot;¥&quot;#,##0_);[Red]\(&quot;¥&quot;#,##0\)"/>
    <numFmt numFmtId="178" formatCode="0_ "/>
  </numFmts>
  <fonts count="40">
    <font>
      <sz val="11"/>
      <color theme="1"/>
      <name val="游ゴシック"/>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b/>
      <sz val="11"/>
      <color rgb="FFFF0000"/>
      <name val="游ゴシック"/>
      <family val="3"/>
      <charset val="128"/>
      <scheme val="minor"/>
    </font>
    <font>
      <sz val="11"/>
      <name val="游ゴシック"/>
      <family val="3"/>
      <charset val="128"/>
      <scheme val="minor"/>
    </font>
    <font>
      <sz val="10"/>
      <color rgb="FF000000"/>
      <name val="游ゴシック"/>
      <family val="3"/>
      <charset val="128"/>
      <scheme val="minor"/>
    </font>
    <font>
      <sz val="10"/>
      <color rgb="FF000000"/>
      <name val="游ゴシック"/>
      <family val="3"/>
      <charset val="128"/>
    </font>
    <font>
      <b/>
      <sz val="10"/>
      <color rgb="FF000000"/>
      <name val="游ゴシック"/>
      <family val="3"/>
      <charset val="128"/>
    </font>
    <font>
      <b/>
      <sz val="20"/>
      <color theme="1"/>
      <name val="游ゴシック"/>
      <family val="3"/>
      <charset val="128"/>
      <scheme val="minor"/>
    </font>
    <font>
      <sz val="12"/>
      <color rgb="FF000000"/>
      <name val="游ゴシック"/>
      <family val="3"/>
      <charset val="128"/>
      <scheme val="minor"/>
    </font>
    <font>
      <b/>
      <sz val="12"/>
      <color rgb="FF000000"/>
      <name val="游ゴシック"/>
      <family val="3"/>
      <charset val="128"/>
      <scheme val="minor"/>
    </font>
    <font>
      <b/>
      <sz val="12"/>
      <color rgb="FFFFFFFF"/>
      <name val="游ゴシック"/>
      <family val="3"/>
      <charset val="128"/>
      <scheme val="minor"/>
    </font>
    <font>
      <b/>
      <sz val="12"/>
      <color rgb="FFFF0000"/>
      <name val="游ゴシック"/>
      <family val="3"/>
      <charset val="128"/>
      <scheme val="minor"/>
    </font>
    <font>
      <b/>
      <sz val="12"/>
      <name val="游ゴシック"/>
      <family val="3"/>
      <charset val="128"/>
      <scheme val="minor"/>
    </font>
    <font>
      <b/>
      <sz val="12"/>
      <color theme="0"/>
      <name val="游ゴシック"/>
      <family val="3"/>
      <charset val="128"/>
      <scheme val="minor"/>
    </font>
    <font>
      <sz val="11"/>
      <color theme="0"/>
      <name val="游ゴシック"/>
      <family val="3"/>
      <charset val="128"/>
      <scheme val="minor"/>
    </font>
    <font>
      <sz val="12"/>
      <name val="游ゴシック"/>
      <family val="3"/>
      <charset val="128"/>
      <scheme val="minor"/>
    </font>
    <font>
      <sz val="12"/>
      <color theme="0"/>
      <name val="游ゴシック"/>
      <family val="3"/>
      <charset val="128"/>
      <scheme val="minor"/>
    </font>
    <font>
      <sz val="11"/>
      <color theme="1"/>
      <name val="游ゴシック"/>
      <family val="3"/>
      <charset val="128"/>
      <scheme val="minor"/>
    </font>
    <font>
      <sz val="11"/>
      <color theme="0"/>
      <name val="游ゴシック"/>
      <family val="3"/>
      <charset val="128"/>
      <scheme val="minor"/>
    </font>
    <font>
      <sz val="10"/>
      <color rgb="FF000000"/>
      <name val="Arial"/>
      <family val="2"/>
    </font>
    <font>
      <sz val="6"/>
      <name val="游ゴシック"/>
      <family val="3"/>
      <charset val="128"/>
      <scheme val="minor"/>
    </font>
    <font>
      <sz val="10"/>
      <color theme="1"/>
      <name val="游ゴシック"/>
      <family val="3"/>
      <charset val="128"/>
    </font>
    <font>
      <sz val="6"/>
      <name val="游ゴシック"/>
      <family val="2"/>
      <charset val="128"/>
      <scheme val="minor"/>
    </font>
    <font>
      <b/>
      <u/>
      <sz val="15"/>
      <color rgb="FF000000"/>
      <name val="游ゴシック"/>
      <family val="3"/>
      <charset val="128"/>
    </font>
    <font>
      <b/>
      <sz val="11"/>
      <color rgb="FF000000"/>
      <name val="游ゴシック"/>
      <family val="3"/>
      <charset val="128"/>
    </font>
    <font>
      <sz val="11"/>
      <color rgb="FF000000"/>
      <name val="游ゴシック"/>
      <family val="3"/>
      <charset val="128"/>
    </font>
    <font>
      <sz val="11"/>
      <color theme="0"/>
      <name val="游ゴシック"/>
      <family val="2"/>
      <charset val="128"/>
      <scheme val="minor"/>
    </font>
    <font>
      <b/>
      <sz val="20"/>
      <color theme="1"/>
      <name val="游ゴシック"/>
      <family val="3"/>
      <charset val="128"/>
      <scheme val="minor"/>
    </font>
    <font>
      <sz val="12"/>
      <color rgb="FF000000"/>
      <name val="游ゴシック"/>
      <family val="3"/>
      <charset val="128"/>
      <scheme val="minor"/>
    </font>
    <font>
      <b/>
      <sz val="12"/>
      <color rgb="FF000000"/>
      <name val="游ゴシック"/>
      <family val="3"/>
      <charset val="128"/>
      <scheme val="minor"/>
    </font>
    <font>
      <b/>
      <sz val="12"/>
      <color rgb="FFFFFFFF"/>
      <name val="游ゴシック"/>
      <family val="3"/>
      <charset val="128"/>
      <scheme val="minor"/>
    </font>
    <font>
      <b/>
      <sz val="12"/>
      <color theme="0"/>
      <name val="游ゴシック"/>
      <family val="3"/>
      <charset val="128"/>
      <scheme val="minor"/>
    </font>
    <font>
      <sz val="20"/>
      <color theme="1"/>
      <name val="HGSｺﾞｼｯｸM"/>
      <family val="3"/>
      <charset val="128"/>
    </font>
    <font>
      <sz val="11"/>
      <color theme="1"/>
      <name val="HGSｺﾞｼｯｸM"/>
      <family val="3"/>
      <charset val="128"/>
    </font>
    <font>
      <sz val="12"/>
      <color theme="1"/>
      <name val="HGSｺﾞｼｯｸM"/>
      <family val="3"/>
      <charset val="128"/>
    </font>
    <font>
      <sz val="11"/>
      <color theme="1"/>
      <name val="游ゴシック"/>
      <family val="3"/>
      <charset val="128"/>
    </font>
    <font>
      <b/>
      <sz val="11"/>
      <color theme="1"/>
      <name val="游ゴシック"/>
      <family val="3"/>
      <charset val="128"/>
    </font>
    <font>
      <sz val="11"/>
      <color rgb="FFFF0000"/>
      <name val="HGSｺﾞｼｯｸM"/>
      <family val="3"/>
      <charset val="128"/>
    </font>
  </fonts>
  <fills count="12">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2DCDB"/>
        <bgColor rgb="FF000000"/>
      </patternFill>
    </fill>
    <fill>
      <patternFill patternType="solid">
        <fgColor rgb="FFDCE6F1"/>
        <bgColor rgb="FF000000"/>
      </patternFill>
    </fill>
    <fill>
      <patternFill patternType="solid">
        <fgColor rgb="FFFFFFFF"/>
        <bgColor rgb="FF000000"/>
      </patternFill>
    </fill>
    <fill>
      <patternFill patternType="solid">
        <fgColor rgb="FFFF0000"/>
        <bgColor rgb="FF000000"/>
      </patternFill>
    </fill>
    <fill>
      <patternFill patternType="solid">
        <fgColor theme="5" tint="0.79992065187536243"/>
        <bgColor indexed="64"/>
      </patternFill>
    </fill>
    <fill>
      <patternFill patternType="solid">
        <fgColor theme="0"/>
        <bgColor rgb="FF000000"/>
      </patternFill>
    </fill>
    <fill>
      <patternFill patternType="solid">
        <fgColor rgb="FF00B050"/>
        <bgColor indexed="64"/>
      </patternFill>
    </fill>
    <fill>
      <patternFill patternType="solid">
        <fgColor theme="2" tint="-9.9978637043366805E-2"/>
        <bgColor rgb="FF000000"/>
      </patternFill>
    </fill>
  </fills>
  <borders count="62">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indexed="64"/>
      </left>
      <right style="thin">
        <color indexed="64"/>
      </right>
      <top style="hair">
        <color indexed="64"/>
      </top>
      <bottom style="hair">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medium">
        <color indexed="64"/>
      </top>
      <bottom style="double">
        <color rgb="FF000000"/>
      </bottom>
      <diagonal/>
    </border>
    <border>
      <left style="thin">
        <color rgb="FF000000"/>
      </left>
      <right style="medium">
        <color indexed="64"/>
      </right>
      <top style="medium">
        <color indexed="64"/>
      </top>
      <bottom style="double">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top style="medium">
        <color indexed="64"/>
      </top>
      <bottom style="thin">
        <color auto="1"/>
      </bottom>
      <diagonal/>
    </border>
    <border>
      <left/>
      <right style="medium">
        <color indexed="64"/>
      </right>
      <top style="medium">
        <color auto="1"/>
      </top>
      <bottom style="thin">
        <color auto="1"/>
      </bottom>
      <diagonal/>
    </border>
  </borders>
  <cellStyleXfs count="9">
    <xf numFmtId="0" fontId="0" fillId="0" borderId="0">
      <alignment vertical="center"/>
    </xf>
    <xf numFmtId="38" fontId="21" fillId="0" borderId="0" applyFont="0" applyFill="0" applyBorder="0" applyAlignment="0" applyProtection="0">
      <alignment vertical="center"/>
    </xf>
    <xf numFmtId="0" fontId="6" fillId="0" borderId="0"/>
    <xf numFmtId="0" fontId="21" fillId="0" borderId="0"/>
    <xf numFmtId="0" fontId="19"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0" fontId="1" fillId="0" borderId="0">
      <alignment vertical="center"/>
    </xf>
  </cellStyleXfs>
  <cellXfs count="214">
    <xf numFmtId="0" fontId="0" fillId="0" borderId="0" xfId="0">
      <alignment vertical="center"/>
    </xf>
    <xf numFmtId="0" fontId="4" fillId="0" borderId="0" xfId="0" applyFont="1">
      <alignment vertical="center"/>
    </xf>
    <xf numFmtId="0" fontId="8" fillId="0" borderId="10" xfId="0" applyFont="1" applyBorder="1" applyAlignment="1">
      <alignment horizontal="center" vertical="center" wrapText="1" readingOrder="1"/>
    </xf>
    <xf numFmtId="0" fontId="8" fillId="0" borderId="11" xfId="0" applyFont="1" applyBorder="1" applyAlignment="1">
      <alignment horizontal="center" vertical="center" wrapText="1" readingOrder="1"/>
    </xf>
    <xf numFmtId="0" fontId="8" fillId="0" borderId="5" xfId="0" applyFont="1" applyBorder="1" applyAlignment="1">
      <alignment horizontal="center" vertical="center" wrapText="1" readingOrder="1"/>
    </xf>
    <xf numFmtId="5" fontId="7" fillId="0" borderId="5" xfId="0" applyNumberFormat="1" applyFont="1" applyBorder="1" applyAlignment="1">
      <alignment horizontal="center" vertical="center" wrapText="1" readingOrder="1"/>
    </xf>
    <xf numFmtId="0" fontId="8" fillId="0" borderId="8" xfId="0" applyFont="1" applyBorder="1" applyAlignment="1">
      <alignment horizontal="center" vertical="center" wrapText="1" readingOrder="1"/>
    </xf>
    <xf numFmtId="6" fontId="7" fillId="0" borderId="8" xfId="0" applyNumberFormat="1" applyFont="1" applyBorder="1" applyAlignment="1">
      <alignment horizontal="center" vertical="center" wrapText="1" readingOrder="1"/>
    </xf>
    <xf numFmtId="0" fontId="8" fillId="0" borderId="13" xfId="0" applyFont="1" applyBorder="1" applyAlignment="1">
      <alignment horizontal="center" vertical="center" wrapText="1" readingOrder="1"/>
    </xf>
    <xf numFmtId="6" fontId="7" fillId="0" borderId="13" xfId="0" applyNumberFormat="1" applyFont="1" applyBorder="1" applyAlignment="1">
      <alignment horizontal="center" vertical="center" wrapText="1" readingOrder="1"/>
    </xf>
    <xf numFmtId="6" fontId="7" fillId="0" borderId="14" xfId="0" applyNumberFormat="1" applyFont="1" applyBorder="1" applyAlignment="1">
      <alignment horizontal="center" vertical="center" wrapText="1" readingOrder="1"/>
    </xf>
    <xf numFmtId="0" fontId="0" fillId="3" borderId="0" xfId="0" applyFill="1">
      <alignment vertical="center"/>
    </xf>
    <xf numFmtId="0" fontId="9" fillId="0" borderId="0" xfId="0" applyFont="1">
      <alignment vertical="center"/>
    </xf>
    <xf numFmtId="0" fontId="10" fillId="0" borderId="17" xfId="3" applyFont="1" applyBorder="1" applyAlignment="1">
      <alignment horizontal="center"/>
    </xf>
    <xf numFmtId="0" fontId="10" fillId="0" borderId="2" xfId="3" applyFont="1" applyBorder="1" applyAlignment="1">
      <alignment horizontal="center"/>
    </xf>
    <xf numFmtId="0" fontId="11" fillId="0" borderId="1" xfId="3" applyFont="1" applyBorder="1" applyAlignment="1">
      <alignment vertical="center"/>
    </xf>
    <xf numFmtId="0" fontId="11" fillId="0" borderId="0" xfId="3" applyFont="1" applyAlignment="1">
      <alignment horizontal="center" vertical="center"/>
    </xf>
    <xf numFmtId="0" fontId="11" fillId="0" borderId="19" xfId="3" applyFont="1" applyBorder="1" applyAlignment="1">
      <alignment horizontal="center" vertical="center"/>
    </xf>
    <xf numFmtId="0" fontId="11" fillId="4" borderId="0" xfId="3" applyFont="1" applyFill="1" applyAlignment="1">
      <alignment horizontal="center" vertical="center"/>
    </xf>
    <xf numFmtId="177" fontId="10" fillId="4" borderId="22" xfId="3" applyNumberFormat="1" applyFont="1" applyFill="1" applyBorder="1" applyAlignment="1">
      <alignment vertical="center"/>
    </xf>
    <xf numFmtId="0" fontId="11" fillId="5" borderId="0" xfId="3" applyFont="1" applyFill="1" applyAlignment="1">
      <alignment horizontal="center" vertical="center"/>
    </xf>
    <xf numFmtId="177" fontId="10" fillId="5" borderId="22" xfId="3" applyNumberFormat="1" applyFont="1" applyFill="1" applyBorder="1" applyAlignment="1">
      <alignment vertical="center"/>
    </xf>
    <xf numFmtId="0" fontId="0" fillId="0" borderId="2" xfId="0" applyBorder="1" applyAlignment="1">
      <alignment horizontal="center" vertical="center"/>
    </xf>
    <xf numFmtId="177" fontId="10" fillId="6" borderId="22" xfId="3" applyNumberFormat="1" applyFont="1" applyFill="1" applyBorder="1" applyAlignment="1">
      <alignment vertical="center"/>
    </xf>
    <xf numFmtId="0" fontId="11" fillId="0" borderId="2" xfId="3" applyFont="1" applyBorder="1" applyAlignment="1">
      <alignment horizontal="center" vertical="center" textRotation="255"/>
    </xf>
    <xf numFmtId="0" fontId="12" fillId="7" borderId="19" xfId="3" applyFont="1" applyFill="1" applyBorder="1" applyAlignment="1">
      <alignment horizontal="center" vertical="center"/>
    </xf>
    <xf numFmtId="177" fontId="12" fillId="7" borderId="22" xfId="3" applyNumberFormat="1" applyFont="1" applyFill="1" applyBorder="1" applyAlignment="1">
      <alignment vertical="center"/>
    </xf>
    <xf numFmtId="0" fontId="11" fillId="0" borderId="22" xfId="3" applyFont="1" applyBorder="1" applyAlignment="1">
      <alignment horizontal="center" vertical="center" textRotation="255"/>
    </xf>
    <xf numFmtId="178" fontId="10" fillId="6" borderId="22" xfId="3" applyNumberFormat="1" applyFont="1" applyFill="1" applyBorder="1" applyAlignment="1">
      <alignment vertical="center"/>
    </xf>
    <xf numFmtId="0" fontId="11" fillId="0" borderId="6" xfId="3" applyFont="1" applyBorder="1" applyAlignment="1">
      <alignment vertical="center"/>
    </xf>
    <xf numFmtId="0" fontId="13" fillId="0" borderId="7" xfId="3" applyFont="1" applyBorder="1" applyAlignment="1">
      <alignment vertical="center"/>
    </xf>
    <xf numFmtId="0" fontId="11" fillId="0" borderId="2" xfId="3" applyFont="1" applyBorder="1" applyAlignment="1">
      <alignment vertical="center"/>
    </xf>
    <xf numFmtId="0" fontId="13" fillId="0" borderId="19" xfId="3" applyFont="1" applyBorder="1" applyAlignment="1">
      <alignment horizontal="center" vertical="center"/>
    </xf>
    <xf numFmtId="38" fontId="11" fillId="0" borderId="19" xfId="1" applyFont="1" applyFill="1" applyBorder="1" applyAlignment="1">
      <alignment vertical="center"/>
    </xf>
    <xf numFmtId="38" fontId="13" fillId="0" borderId="19" xfId="1" applyFont="1" applyFill="1" applyBorder="1" applyAlignment="1">
      <alignment vertical="center"/>
    </xf>
    <xf numFmtId="176" fontId="10" fillId="4" borderId="22" xfId="3" applyNumberFormat="1" applyFont="1" applyFill="1" applyBorder="1" applyAlignment="1">
      <alignment vertical="center"/>
    </xf>
    <xf numFmtId="177" fontId="13" fillId="0" borderId="22" xfId="3" applyNumberFormat="1" applyFont="1" applyBorder="1" applyAlignment="1">
      <alignment vertical="center"/>
    </xf>
    <xf numFmtId="177" fontId="13" fillId="6" borderId="22" xfId="3" applyNumberFormat="1" applyFont="1" applyFill="1" applyBorder="1" applyAlignment="1">
      <alignment vertical="center"/>
    </xf>
    <xf numFmtId="177" fontId="14" fillId="9" borderId="22" xfId="3" applyNumberFormat="1" applyFont="1" applyFill="1" applyBorder="1" applyAlignment="1">
      <alignment vertical="center"/>
    </xf>
    <xf numFmtId="177" fontId="15" fillId="7" borderId="22" xfId="3" applyNumberFormat="1" applyFont="1" applyFill="1" applyBorder="1" applyAlignment="1">
      <alignment vertical="center"/>
    </xf>
    <xf numFmtId="177" fontId="15" fillId="2" borderId="22" xfId="3" applyNumberFormat="1" applyFont="1" applyFill="1" applyBorder="1" applyAlignment="1">
      <alignment vertical="center"/>
    </xf>
    <xf numFmtId="0" fontId="13" fillId="0" borderId="22" xfId="3" applyFont="1" applyBorder="1" applyAlignment="1">
      <alignment horizontal="center" vertical="center" textRotation="255"/>
    </xf>
    <xf numFmtId="0" fontId="16" fillId="0" borderId="0" xfId="0" applyFont="1">
      <alignment vertical="center"/>
    </xf>
    <xf numFmtId="0" fontId="5" fillId="0" borderId="0" xfId="0" applyFont="1">
      <alignment vertical="center"/>
    </xf>
    <xf numFmtId="0" fontId="10" fillId="0" borderId="31" xfId="3" applyFont="1" applyBorder="1" applyAlignment="1">
      <alignment horizontal="center"/>
    </xf>
    <xf numFmtId="0" fontId="11" fillId="0" borderId="22" xfId="3" applyFont="1" applyBorder="1" applyAlignment="1">
      <alignment horizontal="center" vertical="center"/>
    </xf>
    <xf numFmtId="0" fontId="11" fillId="4" borderId="22" xfId="3" applyFont="1" applyFill="1" applyBorder="1" applyAlignment="1">
      <alignment horizontal="center" vertical="center"/>
    </xf>
    <xf numFmtId="177" fontId="17" fillId="4" borderId="22" xfId="3" applyNumberFormat="1" applyFont="1" applyFill="1" applyBorder="1" applyAlignment="1">
      <alignment vertical="center"/>
    </xf>
    <xf numFmtId="0" fontId="11" fillId="5" borderId="22" xfId="3" applyFont="1" applyFill="1" applyBorder="1" applyAlignment="1">
      <alignment horizontal="center" vertical="center"/>
    </xf>
    <xf numFmtId="177" fontId="17" fillId="5" borderId="22" xfId="3" applyNumberFormat="1" applyFont="1" applyFill="1" applyBorder="1" applyAlignment="1">
      <alignment vertical="center"/>
    </xf>
    <xf numFmtId="177" fontId="17" fillId="6" borderId="22" xfId="3" applyNumberFormat="1" applyFont="1" applyFill="1" applyBorder="1" applyAlignment="1">
      <alignment vertical="center"/>
    </xf>
    <xf numFmtId="0" fontId="11" fillId="9" borderId="22" xfId="3" applyFont="1" applyFill="1" applyBorder="1" applyAlignment="1">
      <alignment horizontal="center" vertical="center"/>
    </xf>
    <xf numFmtId="0" fontId="15" fillId="7" borderId="22" xfId="3" applyFont="1" applyFill="1" applyBorder="1" applyAlignment="1">
      <alignment horizontal="center" vertical="center"/>
    </xf>
    <xf numFmtId="177" fontId="18" fillId="7" borderId="22" xfId="3" applyNumberFormat="1" applyFont="1" applyFill="1" applyBorder="1" applyAlignment="1">
      <alignment vertical="center"/>
    </xf>
    <xf numFmtId="0" fontId="11" fillId="0" borderId="7" xfId="3" applyFont="1" applyBorder="1" applyAlignment="1">
      <alignment horizontal="center"/>
    </xf>
    <xf numFmtId="38" fontId="17" fillId="0" borderId="19" xfId="1" applyFont="1" applyFill="1" applyBorder="1" applyAlignment="1">
      <alignment vertical="center"/>
    </xf>
    <xf numFmtId="0" fontId="11" fillId="4" borderId="30" xfId="3" applyFont="1" applyFill="1" applyBorder="1" applyAlignment="1">
      <alignment horizontal="center" vertical="center"/>
    </xf>
    <xf numFmtId="0" fontId="11" fillId="4" borderId="30" xfId="3" applyFont="1" applyFill="1" applyBorder="1" applyAlignment="1">
      <alignment vertical="center"/>
    </xf>
    <xf numFmtId="0" fontId="11" fillId="4" borderId="19" xfId="3" applyFont="1" applyFill="1" applyBorder="1" applyAlignment="1">
      <alignment horizontal="center" vertical="center"/>
    </xf>
    <xf numFmtId="0" fontId="11" fillId="4" borderId="19" xfId="3" applyFont="1" applyFill="1" applyBorder="1" applyAlignment="1">
      <alignment vertical="center"/>
    </xf>
    <xf numFmtId="177" fontId="17" fillId="0" borderId="22" xfId="3" applyNumberFormat="1" applyFont="1" applyBorder="1" applyAlignment="1">
      <alignment vertical="center"/>
    </xf>
    <xf numFmtId="177" fontId="10" fillId="0" borderId="22" xfId="3" applyNumberFormat="1" applyFont="1" applyBorder="1" applyAlignment="1">
      <alignment vertical="center"/>
    </xf>
    <xf numFmtId="177" fontId="14" fillId="0" borderId="22" xfId="3" applyNumberFormat="1" applyFont="1" applyBorder="1" applyAlignment="1">
      <alignment vertical="center"/>
    </xf>
    <xf numFmtId="0" fontId="19" fillId="0" borderId="0" xfId="4">
      <alignment vertical="center"/>
    </xf>
    <xf numFmtId="0" fontId="26" fillId="0" borderId="0" xfId="3" applyFont="1" applyAlignment="1">
      <alignment horizontal="left" vertical="center" wrapText="1"/>
    </xf>
    <xf numFmtId="0" fontId="20" fillId="10" borderId="2" xfId="5" applyFont="1" applyFill="1" applyBorder="1" applyAlignment="1">
      <alignment horizontal="center" vertical="center"/>
    </xf>
    <xf numFmtId="0" fontId="3" fillId="0" borderId="0" xfId="5">
      <alignment vertical="center"/>
    </xf>
    <xf numFmtId="0" fontId="3" fillId="0" borderId="21" xfId="5" quotePrefix="1" applyBorder="1">
      <alignment vertical="center"/>
    </xf>
    <xf numFmtId="0" fontId="3" fillId="0" borderId="21" xfId="5" quotePrefix="1" applyBorder="1" applyAlignment="1">
      <alignment horizontal="center" vertical="center"/>
    </xf>
    <xf numFmtId="0" fontId="3" fillId="3" borderId="21" xfId="5" quotePrefix="1" applyFill="1" applyBorder="1">
      <alignment vertical="center"/>
    </xf>
    <xf numFmtId="0" fontId="3" fillId="0" borderId="21" xfId="5" quotePrefix="1" applyBorder="1" applyAlignment="1">
      <alignment horizontal="right" vertical="center"/>
    </xf>
    <xf numFmtId="0" fontId="3" fillId="0" borderId="38" xfId="5" quotePrefix="1" applyBorder="1">
      <alignment vertical="center"/>
    </xf>
    <xf numFmtId="0" fontId="3" fillId="0" borderId="38" xfId="5" quotePrefix="1" applyBorder="1" applyAlignment="1">
      <alignment horizontal="center" vertical="center"/>
    </xf>
    <xf numFmtId="0" fontId="3" fillId="0" borderId="38" xfId="5" quotePrefix="1" applyBorder="1" applyAlignment="1">
      <alignment horizontal="right" vertical="center"/>
    </xf>
    <xf numFmtId="0" fontId="3" fillId="0" borderId="38" xfId="5" applyBorder="1">
      <alignment vertical="center"/>
    </xf>
    <xf numFmtId="0" fontId="3" fillId="0" borderId="3" xfId="5" quotePrefix="1" applyBorder="1">
      <alignment vertical="center"/>
    </xf>
    <xf numFmtId="0" fontId="3" fillId="0" borderId="3" xfId="5" quotePrefix="1" applyBorder="1" applyAlignment="1">
      <alignment horizontal="center" vertical="center"/>
    </xf>
    <xf numFmtId="0" fontId="3" fillId="0" borderId="3" xfId="5" applyBorder="1">
      <alignment vertical="center"/>
    </xf>
    <xf numFmtId="0" fontId="29" fillId="0" borderId="0" xfId="5" applyFont="1">
      <alignment vertical="center"/>
    </xf>
    <xf numFmtId="0" fontId="19" fillId="0" borderId="0" xfId="5" applyFont="1">
      <alignment vertical="center"/>
    </xf>
    <xf numFmtId="0" fontId="30" fillId="0" borderId="22" xfId="3" applyFont="1" applyBorder="1" applyAlignment="1">
      <alignment horizontal="center"/>
    </xf>
    <xf numFmtId="49" fontId="30" fillId="6" borderId="22" xfId="3" applyNumberFormat="1" applyFont="1" applyFill="1" applyBorder="1" applyAlignment="1">
      <alignment vertical="center"/>
    </xf>
    <xf numFmtId="177" fontId="30" fillId="6" borderId="22" xfId="3" applyNumberFormat="1" applyFont="1" applyFill="1" applyBorder="1" applyAlignment="1">
      <alignment vertical="center"/>
    </xf>
    <xf numFmtId="177" fontId="32" fillId="7" borderId="22" xfId="3" applyNumberFormat="1" applyFont="1" applyFill="1" applyBorder="1" applyAlignment="1">
      <alignment vertical="center"/>
    </xf>
    <xf numFmtId="177" fontId="33" fillId="7" borderId="22" xfId="3" applyNumberFormat="1" applyFont="1" applyFill="1" applyBorder="1" applyAlignment="1">
      <alignment vertical="center"/>
    </xf>
    <xf numFmtId="0" fontId="31" fillId="0" borderId="22" xfId="3" applyFont="1" applyBorder="1" applyAlignment="1">
      <alignment vertical="center" textRotation="255"/>
    </xf>
    <xf numFmtId="0" fontId="19" fillId="3" borderId="0" xfId="5" applyFont="1" applyFill="1">
      <alignment vertical="center"/>
    </xf>
    <xf numFmtId="0" fontId="32" fillId="7" borderId="22" xfId="3" applyFont="1" applyFill="1" applyBorder="1" applyAlignment="1">
      <alignment horizontal="center" vertical="center"/>
    </xf>
    <xf numFmtId="0" fontId="31" fillId="0" borderId="22" xfId="3" applyFont="1" applyBorder="1" applyAlignment="1">
      <alignment horizontal="center" vertical="center" textRotation="255"/>
    </xf>
    <xf numFmtId="0" fontId="35" fillId="0" borderId="0" xfId="8" applyFont="1" applyAlignment="1">
      <alignment horizontal="center" vertical="center"/>
    </xf>
    <xf numFmtId="0" fontId="35" fillId="0" borderId="22" xfId="8" applyFont="1" applyBorder="1" applyAlignment="1">
      <alignment horizontal="center" vertical="center"/>
    </xf>
    <xf numFmtId="0" fontId="35" fillId="0" borderId="30" xfId="8" applyFont="1" applyBorder="1" applyAlignment="1">
      <alignment horizontal="center" vertical="center"/>
    </xf>
    <xf numFmtId="0" fontId="35" fillId="0" borderId="15" xfId="8" applyFont="1" applyBorder="1" applyAlignment="1">
      <alignment horizontal="center" vertical="center"/>
    </xf>
    <xf numFmtId="0" fontId="35" fillId="0" borderId="42" xfId="8" applyFont="1" applyBorder="1" applyAlignment="1">
      <alignment horizontal="center" vertical="center"/>
    </xf>
    <xf numFmtId="9" fontId="35" fillId="0" borderId="43" xfId="8" applyNumberFormat="1" applyFont="1" applyBorder="1" applyAlignment="1">
      <alignment horizontal="center" vertical="center"/>
    </xf>
    <xf numFmtId="9" fontId="35" fillId="0" borderId="41" xfId="8" applyNumberFormat="1" applyFont="1" applyBorder="1" applyAlignment="1">
      <alignment horizontal="center" vertical="center"/>
    </xf>
    <xf numFmtId="0" fontId="35" fillId="0" borderId="19" xfId="8" applyFont="1" applyBorder="1" applyAlignment="1">
      <alignment horizontal="center" vertical="center"/>
    </xf>
    <xf numFmtId="9" fontId="35" fillId="0" borderId="44" xfId="8" applyNumberFormat="1" applyFont="1" applyBorder="1" applyAlignment="1">
      <alignment horizontal="center" vertical="center"/>
    </xf>
    <xf numFmtId="9" fontId="35" fillId="0" borderId="45" xfId="8" applyNumberFormat="1" applyFont="1" applyBorder="1" applyAlignment="1">
      <alignment horizontal="center" vertical="center"/>
    </xf>
    <xf numFmtId="49" fontId="35" fillId="0" borderId="46" xfId="8" applyNumberFormat="1" applyFont="1" applyBorder="1" applyAlignment="1">
      <alignment horizontal="center" vertical="center"/>
    </xf>
    <xf numFmtId="49" fontId="35" fillId="0" borderId="48" xfId="8" applyNumberFormat="1" applyFont="1" applyBorder="1" applyAlignment="1">
      <alignment horizontal="center" vertical="center"/>
    </xf>
    <xf numFmtId="49" fontId="35" fillId="0" borderId="50" xfId="8" applyNumberFormat="1" applyFont="1" applyBorder="1" applyAlignment="1">
      <alignment horizontal="center" vertical="center"/>
    </xf>
    <xf numFmtId="177" fontId="14" fillId="11" borderId="22" xfId="3" applyNumberFormat="1" applyFont="1" applyFill="1" applyBorder="1" applyAlignment="1">
      <alignment vertical="center"/>
    </xf>
    <xf numFmtId="177" fontId="10" fillId="9" borderId="22" xfId="3" applyNumberFormat="1" applyFont="1" applyFill="1" applyBorder="1" applyAlignment="1">
      <alignment vertical="center"/>
    </xf>
    <xf numFmtId="177" fontId="13" fillId="9" borderId="22" xfId="3" applyNumberFormat="1" applyFont="1" applyFill="1" applyBorder="1" applyAlignment="1">
      <alignment vertical="center"/>
    </xf>
    <xf numFmtId="177" fontId="17" fillId="11" borderId="22" xfId="3" applyNumberFormat="1" applyFont="1" applyFill="1" applyBorder="1" applyAlignment="1">
      <alignment vertical="center"/>
    </xf>
    <xf numFmtId="177" fontId="10" fillId="11" borderId="22" xfId="3" applyNumberFormat="1" applyFont="1" applyFill="1" applyBorder="1" applyAlignment="1">
      <alignment vertical="center"/>
    </xf>
    <xf numFmtId="177" fontId="13" fillId="11" borderId="22" xfId="3" applyNumberFormat="1" applyFont="1" applyFill="1" applyBorder="1" applyAlignment="1">
      <alignment vertical="center"/>
    </xf>
    <xf numFmtId="0" fontId="4" fillId="0" borderId="0" xfId="4" applyFont="1">
      <alignment vertical="center"/>
    </xf>
    <xf numFmtId="0" fontId="8" fillId="0" borderId="52" xfId="0" applyFont="1" applyBorder="1" applyAlignment="1">
      <alignment horizontal="center" vertical="center" wrapText="1" readingOrder="1"/>
    </xf>
    <xf numFmtId="6" fontId="23" fillId="0" borderId="52" xfId="0" applyNumberFormat="1" applyFont="1" applyBorder="1" applyAlignment="1">
      <alignment horizontal="center" vertical="center" wrapText="1" readingOrder="1"/>
    </xf>
    <xf numFmtId="0" fontId="8" fillId="0" borderId="53" xfId="0" applyFont="1" applyBorder="1" applyAlignment="1">
      <alignment horizontal="center" vertical="center" wrapText="1" readingOrder="1"/>
    </xf>
    <xf numFmtId="0" fontId="8" fillId="0" borderId="54" xfId="0" applyFont="1" applyBorder="1" applyAlignment="1">
      <alignment horizontal="center" vertical="center" wrapText="1" readingOrder="1"/>
    </xf>
    <xf numFmtId="5" fontId="7" fillId="0" borderId="55" xfId="0" applyNumberFormat="1" applyFont="1" applyBorder="1" applyAlignment="1">
      <alignment horizontal="center" vertical="center" wrapText="1" readingOrder="1"/>
    </xf>
    <xf numFmtId="6" fontId="7" fillId="0" borderId="56" xfId="0" applyNumberFormat="1" applyFont="1" applyBorder="1" applyAlignment="1">
      <alignment horizontal="center" vertical="center" wrapText="1" readingOrder="1"/>
    </xf>
    <xf numFmtId="6" fontId="23" fillId="0" borderId="57" xfId="0" applyNumberFormat="1" applyFont="1" applyBorder="1" applyAlignment="1">
      <alignment horizontal="center" vertical="center" wrapText="1" readingOrder="1"/>
    </xf>
    <xf numFmtId="0" fontId="8" fillId="0" borderId="58" xfId="0" applyFont="1" applyBorder="1" applyAlignment="1">
      <alignment horizontal="center" vertical="center" wrapText="1" readingOrder="1"/>
    </xf>
    <xf numFmtId="6" fontId="23" fillId="0" borderId="58" xfId="0" applyNumberFormat="1" applyFont="1" applyBorder="1" applyAlignment="1">
      <alignment horizontal="center" vertical="center" wrapText="1" readingOrder="1"/>
    </xf>
    <xf numFmtId="6" fontId="23" fillId="0" borderId="59" xfId="0" applyNumberFormat="1" applyFont="1" applyBorder="1" applyAlignment="1">
      <alignment horizontal="center" vertical="center" wrapText="1" readingOrder="1"/>
    </xf>
    <xf numFmtId="0" fontId="0" fillId="0" borderId="60" xfId="0" applyBorder="1">
      <alignment vertical="center"/>
    </xf>
    <xf numFmtId="0" fontId="0" fillId="0" borderId="28" xfId="0" applyBorder="1">
      <alignment vertical="center"/>
    </xf>
    <xf numFmtId="0" fontId="0" fillId="0" borderId="61" xfId="0" applyBorder="1">
      <alignment vertical="center"/>
    </xf>
    <xf numFmtId="38" fontId="11" fillId="0" borderId="22" xfId="1" applyFont="1" applyFill="1" applyBorder="1" applyAlignment="1">
      <alignment vertical="center"/>
    </xf>
    <xf numFmtId="0" fontId="7" fillId="0" borderId="0" xfId="3" applyFont="1"/>
    <xf numFmtId="0" fontId="12" fillId="7" borderId="22" xfId="3" applyFont="1" applyFill="1" applyBorder="1" applyAlignment="1">
      <alignment horizontal="center" vertical="center" wrapText="1"/>
    </xf>
    <xf numFmtId="49" fontId="10" fillId="6" borderId="22" xfId="3" applyNumberFormat="1" applyFont="1" applyFill="1" applyBorder="1" applyAlignment="1">
      <alignment vertical="center"/>
    </xf>
    <xf numFmtId="0" fontId="19" fillId="0" borderId="39" xfId="5" applyFont="1" applyBorder="1">
      <alignment vertical="center"/>
    </xf>
    <xf numFmtId="0" fontId="39" fillId="0" borderId="22" xfId="8" applyFont="1" applyBorder="1" applyAlignment="1">
      <alignment horizontal="center" vertical="center"/>
    </xf>
    <xf numFmtId="0" fontId="39" fillId="0" borderId="0" xfId="8" applyFont="1" applyAlignment="1">
      <alignment horizontal="left" vertical="center"/>
    </xf>
    <xf numFmtId="0" fontId="25" fillId="3" borderId="2" xfId="3" applyFont="1" applyFill="1" applyBorder="1" applyAlignment="1">
      <alignment horizontal="center" vertical="center"/>
    </xf>
    <xf numFmtId="0" fontId="26" fillId="0" borderId="2" xfId="3" applyFont="1" applyBorder="1" applyAlignment="1">
      <alignment horizontal="center" vertical="center" textRotation="255"/>
    </xf>
    <xf numFmtId="0" fontId="26" fillId="0" borderId="2" xfId="3" applyFont="1" applyBorder="1" applyAlignment="1">
      <alignment horizontal="center" vertical="center" wrapText="1"/>
    </xf>
    <xf numFmtId="0" fontId="27" fillId="0" borderId="2" xfId="3" applyFont="1" applyBorder="1" applyAlignment="1">
      <alignment horizontal="center" vertical="center"/>
    </xf>
    <xf numFmtId="0" fontId="37" fillId="3" borderId="2" xfId="3" applyFont="1" applyFill="1" applyBorder="1" applyAlignment="1">
      <alignment horizontal="left" vertical="center" wrapText="1"/>
    </xf>
    <xf numFmtId="0" fontId="38" fillId="0" borderId="2" xfId="3" applyFont="1" applyBorder="1" applyAlignment="1">
      <alignment horizontal="center" vertical="center" wrapText="1"/>
    </xf>
    <xf numFmtId="0" fontId="37" fillId="0" borderId="2" xfId="3" applyFont="1" applyBorder="1" applyAlignment="1">
      <alignment horizontal="center" vertical="center"/>
    </xf>
    <xf numFmtId="0" fontId="38" fillId="3" borderId="2" xfId="3" applyFont="1" applyFill="1" applyBorder="1" applyAlignment="1">
      <alignment horizontal="left" vertical="center" wrapText="1"/>
    </xf>
    <xf numFmtId="0" fontId="26" fillId="0" borderId="32" xfId="3" applyFont="1" applyBorder="1" applyAlignment="1">
      <alignment horizontal="left" vertical="center" wrapText="1"/>
    </xf>
    <xf numFmtId="0" fontId="26" fillId="0" borderId="29" xfId="3" applyFont="1" applyBorder="1" applyAlignment="1">
      <alignment horizontal="left" vertical="center" wrapText="1"/>
    </xf>
    <xf numFmtId="0" fontId="26" fillId="0" borderId="33" xfId="3" applyFont="1" applyBorder="1" applyAlignment="1">
      <alignment horizontal="left" vertical="center" wrapText="1"/>
    </xf>
    <xf numFmtId="0" fontId="26" fillId="0" borderId="26" xfId="3" applyFont="1" applyBorder="1" applyAlignment="1">
      <alignment horizontal="left" vertical="center" wrapText="1"/>
    </xf>
    <xf numFmtId="0" fontId="26" fillId="0" borderId="0" xfId="3" applyFont="1" applyAlignment="1">
      <alignment horizontal="left" vertical="center" wrapText="1"/>
    </xf>
    <xf numFmtId="0" fontId="26" fillId="0" borderId="34" xfId="3" applyFont="1" applyBorder="1" applyAlignment="1">
      <alignment horizontal="left" vertical="center" wrapText="1"/>
    </xf>
    <xf numFmtId="0" fontId="26" fillId="0" borderId="27" xfId="3" applyFont="1" applyBorder="1" applyAlignment="1">
      <alignment horizontal="left" vertical="center" wrapText="1"/>
    </xf>
    <xf numFmtId="0" fontId="26" fillId="0" borderId="28" xfId="3" applyFont="1" applyBorder="1" applyAlignment="1">
      <alignment horizontal="left" vertical="center" wrapText="1"/>
    </xf>
    <xf numFmtId="0" fontId="26" fillId="0" borderId="35" xfId="3" applyFont="1" applyBorder="1" applyAlignment="1">
      <alignment horizontal="left" vertical="center" wrapText="1"/>
    </xf>
    <xf numFmtId="0" fontId="28" fillId="10" borderId="1" xfId="5" applyFont="1" applyFill="1" applyBorder="1" applyAlignment="1">
      <alignment horizontal="center" vertical="center"/>
    </xf>
    <xf numFmtId="0" fontId="28" fillId="10" borderId="6" xfId="5" applyFont="1" applyFill="1" applyBorder="1" applyAlignment="1">
      <alignment horizontal="center" vertical="center"/>
    </xf>
    <xf numFmtId="0" fontId="28" fillId="10" borderId="7" xfId="5" applyFont="1" applyFill="1" applyBorder="1" applyAlignment="1">
      <alignment horizontal="center" vertical="center"/>
    </xf>
    <xf numFmtId="0" fontId="15" fillId="7" borderId="22" xfId="3" applyFont="1" applyFill="1" applyBorder="1" applyAlignment="1">
      <alignment horizontal="center" vertical="center" wrapText="1"/>
    </xf>
    <xf numFmtId="0" fontId="15" fillId="7" borderId="22" xfId="3" applyFont="1" applyFill="1" applyBorder="1" applyAlignment="1">
      <alignment horizontal="center" vertical="center"/>
    </xf>
    <xf numFmtId="0" fontId="11" fillId="4" borderId="30" xfId="3" applyFont="1" applyFill="1" applyBorder="1" applyAlignment="1">
      <alignment horizontal="center" vertical="center"/>
    </xf>
    <xf numFmtId="0" fontId="11" fillId="4" borderId="19" xfId="3" applyFont="1" applyFill="1" applyBorder="1" applyAlignment="1">
      <alignment horizontal="center" vertical="center"/>
    </xf>
    <xf numFmtId="0" fontId="10" fillId="0" borderId="22" xfId="3" applyFont="1" applyBorder="1" applyAlignment="1">
      <alignment horizontal="center"/>
    </xf>
    <xf numFmtId="0" fontId="11" fillId="0" borderId="32" xfId="3" applyFont="1" applyBorder="1" applyAlignment="1">
      <alignment horizontal="center"/>
    </xf>
    <xf numFmtId="0" fontId="11" fillId="0" borderId="29" xfId="3" applyFont="1" applyBorder="1" applyAlignment="1">
      <alignment horizontal="center"/>
    </xf>
    <xf numFmtId="0" fontId="11" fillId="0" borderId="1" xfId="3" applyFont="1" applyBorder="1" applyAlignment="1">
      <alignment horizontal="center"/>
    </xf>
    <xf numFmtId="0" fontId="11" fillId="0" borderId="6" xfId="3" applyFont="1" applyBorder="1" applyAlignment="1">
      <alignment horizontal="center"/>
    </xf>
    <xf numFmtId="0" fontId="11" fillId="0" borderId="7" xfId="3" applyFont="1" applyBorder="1" applyAlignment="1">
      <alignment horizontal="center"/>
    </xf>
    <xf numFmtId="176" fontId="10" fillId="4" borderId="30" xfId="3" applyNumberFormat="1" applyFont="1" applyFill="1" applyBorder="1" applyAlignment="1">
      <alignment horizontal="center" vertical="center"/>
    </xf>
    <xf numFmtId="176" fontId="10" fillId="4" borderId="19" xfId="3" applyNumberFormat="1" applyFont="1" applyFill="1" applyBorder="1" applyAlignment="1">
      <alignment horizontal="center" vertical="center"/>
    </xf>
    <xf numFmtId="177" fontId="10" fillId="4" borderId="22" xfId="3" applyNumberFormat="1" applyFont="1" applyFill="1" applyBorder="1" applyAlignment="1">
      <alignment horizontal="center" vertical="center"/>
    </xf>
    <xf numFmtId="0" fontId="11" fillId="0" borderId="22" xfId="3" applyFont="1" applyBorder="1" applyAlignment="1">
      <alignment horizontal="center" vertical="center"/>
    </xf>
    <xf numFmtId="0" fontId="11" fillId="4" borderId="22" xfId="3" applyFont="1" applyFill="1" applyBorder="1" applyAlignment="1">
      <alignment horizontal="center" vertical="center"/>
    </xf>
    <xf numFmtId="0" fontId="11" fillId="5" borderId="22" xfId="3" applyFont="1" applyFill="1" applyBorder="1" applyAlignment="1">
      <alignment horizontal="center" vertical="center"/>
    </xf>
    <xf numFmtId="0" fontId="11" fillId="0" borderId="22" xfId="3" applyFont="1" applyBorder="1" applyAlignment="1">
      <alignment horizontal="center" vertical="center" textRotation="255"/>
    </xf>
    <xf numFmtId="0" fontId="11" fillId="0" borderId="32" xfId="3" applyFont="1" applyBorder="1" applyAlignment="1">
      <alignment horizontal="center" vertical="center" textRotation="255"/>
    </xf>
    <xf numFmtId="0" fontId="11" fillId="0" borderId="29" xfId="3" applyFont="1" applyBorder="1" applyAlignment="1">
      <alignment horizontal="center" vertical="center" textRotation="255"/>
    </xf>
    <xf numFmtId="0" fontId="11" fillId="0" borderId="33" xfId="3" applyFont="1" applyBorder="1" applyAlignment="1">
      <alignment horizontal="center" vertical="center" textRotation="255"/>
    </xf>
    <xf numFmtId="0" fontId="11" fillId="0" borderId="26" xfId="3" applyFont="1" applyBorder="1" applyAlignment="1">
      <alignment horizontal="center" vertical="center" textRotation="255"/>
    </xf>
    <xf numFmtId="0" fontId="11" fillId="0" borderId="0" xfId="3" applyFont="1" applyAlignment="1">
      <alignment horizontal="center" vertical="center" textRotation="255"/>
    </xf>
    <xf numFmtId="0" fontId="11" fillId="0" borderId="34" xfId="3" applyFont="1" applyBorder="1" applyAlignment="1">
      <alignment horizontal="center" vertical="center" textRotation="255"/>
    </xf>
    <xf numFmtId="0" fontId="11" fillId="0" borderId="27" xfId="3" applyFont="1" applyBorder="1" applyAlignment="1">
      <alignment horizontal="center" vertical="center" textRotation="255"/>
    </xf>
    <xf numFmtId="0" fontId="11" fillId="0" borderId="28" xfId="3" applyFont="1" applyBorder="1" applyAlignment="1">
      <alignment horizontal="center" vertical="center" textRotation="255"/>
    </xf>
    <xf numFmtId="0" fontId="11" fillId="0" borderId="35" xfId="3" applyFont="1" applyBorder="1" applyAlignment="1">
      <alignment horizontal="center" vertical="center" textRotation="255"/>
    </xf>
    <xf numFmtId="177" fontId="13" fillId="4" borderId="22" xfId="3" applyNumberFormat="1" applyFont="1" applyFill="1" applyBorder="1" applyAlignment="1">
      <alignment horizontal="center" vertical="center"/>
    </xf>
    <xf numFmtId="0" fontId="10" fillId="0" borderId="15" xfId="3" applyFont="1" applyBorder="1" applyAlignment="1">
      <alignment horizontal="center"/>
    </xf>
    <xf numFmtId="0" fontId="10" fillId="0" borderId="16" xfId="3" applyFont="1" applyBorder="1" applyAlignment="1">
      <alignment horizontal="center"/>
    </xf>
    <xf numFmtId="0" fontId="11" fillId="0" borderId="17" xfId="3" applyFont="1" applyBorder="1" applyAlignment="1">
      <alignment horizontal="center" vertical="center"/>
    </xf>
    <xf numFmtId="0" fontId="11" fillId="0" borderId="29" xfId="3" applyFont="1" applyBorder="1" applyAlignment="1">
      <alignment horizontal="center" vertical="center"/>
    </xf>
    <xf numFmtId="0" fontId="11" fillId="0" borderId="18" xfId="3" applyFont="1" applyBorder="1" applyAlignment="1">
      <alignment horizontal="center" vertical="center"/>
    </xf>
    <xf numFmtId="0" fontId="11" fillId="0" borderId="2" xfId="3" applyFont="1" applyBorder="1" applyAlignment="1">
      <alignment horizontal="center" vertical="center"/>
    </xf>
    <xf numFmtId="0" fontId="11" fillId="4" borderId="20" xfId="3" applyFont="1" applyFill="1" applyBorder="1" applyAlignment="1">
      <alignment horizontal="center" vertical="center"/>
    </xf>
    <xf numFmtId="0" fontId="11" fillId="4" borderId="21" xfId="3" applyFont="1" applyFill="1" applyBorder="1" applyAlignment="1">
      <alignment horizontal="center" vertical="center"/>
    </xf>
    <xf numFmtId="0" fontId="11" fillId="5" borderId="23" xfId="3" applyFont="1" applyFill="1" applyBorder="1" applyAlignment="1">
      <alignment horizontal="center" vertical="center"/>
    </xf>
    <xf numFmtId="0" fontId="11" fillId="5" borderId="24" xfId="3" applyFont="1" applyFill="1" applyBorder="1" applyAlignment="1">
      <alignment horizontal="center" vertical="center"/>
    </xf>
    <xf numFmtId="0" fontId="12" fillId="7" borderId="22" xfId="3" applyFont="1" applyFill="1" applyBorder="1" applyAlignment="1">
      <alignment horizontal="center" vertical="center" wrapText="1"/>
    </xf>
    <xf numFmtId="0" fontId="12" fillId="7" borderId="22" xfId="3" applyFont="1" applyFill="1" applyBorder="1" applyAlignment="1">
      <alignment horizontal="center" vertical="center"/>
    </xf>
    <xf numFmtId="177" fontId="13" fillId="8" borderId="22" xfId="3" applyNumberFormat="1" applyFont="1" applyFill="1" applyBorder="1" applyAlignment="1">
      <alignment horizontal="center" vertical="center"/>
    </xf>
    <xf numFmtId="0" fontId="11" fillId="0" borderId="25" xfId="3" applyFont="1" applyBorder="1" applyAlignment="1">
      <alignment horizontal="center" vertical="center" textRotation="255"/>
    </xf>
    <xf numFmtId="0" fontId="11" fillId="0" borderId="4" xfId="3" applyFont="1" applyBorder="1" applyAlignment="1">
      <alignment horizontal="center" vertical="center" textRotation="255"/>
    </xf>
    <xf numFmtId="0" fontId="35" fillId="0" borderId="36" xfId="8" applyFont="1" applyBorder="1" applyAlignment="1">
      <alignment horizontal="center" vertical="center"/>
    </xf>
    <xf numFmtId="0" fontId="35" fillId="0" borderId="47" xfId="8" applyFont="1" applyBorder="1" applyAlignment="1">
      <alignment horizontal="center" vertical="center"/>
    </xf>
    <xf numFmtId="0" fontId="34" fillId="0" borderId="0" xfId="8" applyFont="1" applyAlignment="1">
      <alignment horizontal="center" vertical="center"/>
    </xf>
    <xf numFmtId="0" fontId="36" fillId="0" borderId="0" xfId="8" applyFont="1" applyAlignment="1">
      <alignment horizontal="center" vertical="center"/>
    </xf>
    <xf numFmtId="9" fontId="35" fillId="0" borderId="40" xfId="8" applyNumberFormat="1" applyFont="1" applyBorder="1" applyAlignment="1">
      <alignment horizontal="center" vertical="center"/>
    </xf>
    <xf numFmtId="0" fontId="35" fillId="0" borderId="41" xfId="8" applyFont="1" applyBorder="1" applyAlignment="1">
      <alignment horizontal="center" vertical="center"/>
    </xf>
    <xf numFmtId="0" fontId="35" fillId="0" borderId="0" xfId="8" applyFont="1" applyAlignment="1">
      <alignment horizontal="center" vertical="center"/>
    </xf>
    <xf numFmtId="0" fontId="35" fillId="0" borderId="18" xfId="8" applyFont="1" applyBorder="1" applyAlignment="1">
      <alignment horizontal="center" vertical="center"/>
    </xf>
    <xf numFmtId="0" fontId="35" fillId="0" borderId="49" xfId="8" applyFont="1" applyBorder="1" applyAlignment="1">
      <alignment horizontal="center" vertical="center"/>
    </xf>
    <xf numFmtId="0" fontId="35" fillId="0" borderId="37" xfId="8" applyFont="1" applyBorder="1" applyAlignment="1">
      <alignment horizontal="center" vertical="center"/>
    </xf>
    <xf numFmtId="0" fontId="35" fillId="0" borderId="51" xfId="8" applyFont="1" applyBorder="1" applyAlignment="1">
      <alignment horizontal="center" vertical="center"/>
    </xf>
    <xf numFmtId="49" fontId="35" fillId="0" borderId="18" xfId="8" applyNumberFormat="1" applyFont="1" applyBorder="1" applyAlignment="1">
      <alignment horizontal="center" vertical="center"/>
    </xf>
    <xf numFmtId="49" fontId="35" fillId="0" borderId="49" xfId="8" applyNumberFormat="1" applyFont="1" applyBorder="1" applyAlignment="1">
      <alignment horizontal="center" vertical="center"/>
    </xf>
    <xf numFmtId="49" fontId="35" fillId="0" borderId="0" xfId="8" applyNumberFormat="1" applyFont="1" applyAlignment="1">
      <alignment horizontal="center" vertical="center"/>
    </xf>
    <xf numFmtId="0" fontId="11" fillId="0" borderId="31" xfId="3" applyFont="1" applyBorder="1" applyAlignment="1">
      <alignment horizontal="center"/>
    </xf>
    <xf numFmtId="0" fontId="11" fillId="0" borderId="39" xfId="3" applyFont="1" applyBorder="1" applyAlignment="1">
      <alignment horizontal="center"/>
    </xf>
    <xf numFmtId="0" fontId="11" fillId="0" borderId="31" xfId="3" applyFont="1" applyBorder="1" applyAlignment="1">
      <alignment horizontal="center" vertical="center"/>
    </xf>
    <xf numFmtId="0" fontId="31" fillId="0" borderId="39" xfId="3" applyFont="1" applyBorder="1" applyAlignment="1">
      <alignment horizontal="center" vertical="center"/>
    </xf>
    <xf numFmtId="0" fontId="8" fillId="0" borderId="9" xfId="0" applyFont="1" applyBorder="1" applyAlignment="1">
      <alignment horizontal="center" vertical="center" textRotation="255" wrapText="1" readingOrder="1"/>
    </xf>
    <xf numFmtId="0" fontId="8" fillId="0" borderId="12" xfId="0" applyFont="1" applyBorder="1" applyAlignment="1">
      <alignment horizontal="center" vertical="center" textRotation="255" wrapText="1" readingOrder="1"/>
    </xf>
    <xf numFmtId="0" fontId="8" fillId="0" borderId="32" xfId="0" applyFont="1" applyBorder="1" applyAlignment="1">
      <alignment horizontal="center" vertical="center" textRotation="255" wrapText="1" readingOrder="1"/>
    </xf>
    <xf numFmtId="0" fontId="8" fillId="0" borderId="26" xfId="0" applyFont="1" applyBorder="1" applyAlignment="1">
      <alignment horizontal="center" vertical="center" textRotation="255" wrapText="1" readingOrder="1"/>
    </xf>
    <xf numFmtId="0" fontId="8" fillId="0" borderId="27" xfId="0" applyFont="1" applyBorder="1" applyAlignment="1">
      <alignment horizontal="center" vertical="center" textRotation="255" wrapText="1" readingOrder="1"/>
    </xf>
  </cellXfs>
  <cellStyles count="9">
    <cellStyle name="桁区切り 2" xfId="1" xr:uid="{00000000-0005-0000-0000-000028000000}"/>
    <cellStyle name="桁区切り 3" xfId="7" xr:uid="{E85CFB89-C4AF-4304-95F0-5DCE901AB079}"/>
    <cellStyle name="標準" xfId="0" builtinId="0"/>
    <cellStyle name="標準 2" xfId="2" xr:uid="{00000000-0005-0000-0000-000032000000}"/>
    <cellStyle name="標準 2 2" xfId="3" xr:uid="{00000000-0005-0000-0000-000033000000}"/>
    <cellStyle name="標準 2 3" xfId="4" xr:uid="{B7CFD9FD-0D81-4E8E-B41E-A9928F3D35FF}"/>
    <cellStyle name="標準 3" xfId="5" xr:uid="{165305F2-D636-4C3E-A5E6-4870C1A73341}"/>
    <cellStyle name="標準 4" xfId="6" xr:uid="{6BA03BB6-754C-4941-8C0A-0E07548BCF7D}"/>
    <cellStyle name="標準 5" xfId="8" xr:uid="{AB8ED706-D697-41DB-A66E-A0867B23EB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nd024/stores/Sales%20Labor%20from%20store%20and%20DM/StoreFY99/model%20for%20Store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nd024\stores\Sales%20Labor%20from%20store%20and%20DM\StoreFY99\model%20for%20Store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254\&#20107;&#26989;&#25512;&#36914;&#37096;\Rnd024\stores\Sales%20Labor%20from%20store%20and%20DM\StoreFY99\model%20for%20Store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9EBF-C3F0-44B0-8F0D-730F9CA956A3}">
  <dimension ref="A1:A56"/>
  <sheetViews>
    <sheetView topLeftCell="A33" workbookViewId="0">
      <selection activeCell="J43" sqref="J43"/>
    </sheetView>
  </sheetViews>
  <sheetFormatPr defaultColWidth="9" defaultRowHeight="18"/>
  <cols>
    <col min="1" max="16384" width="9" style="63"/>
  </cols>
  <sheetData>
    <row r="1" spans="1:1">
      <c r="A1" s="63" t="s">
        <v>0</v>
      </c>
    </row>
    <row r="2" spans="1:1">
      <c r="A2" s="63" t="s">
        <v>200</v>
      </c>
    </row>
    <row r="3" spans="1:1">
      <c r="A3" s="63" t="s">
        <v>1</v>
      </c>
    </row>
    <row r="4" spans="1:1">
      <c r="A4" s="63" t="s">
        <v>146</v>
      </c>
    </row>
    <row r="6" spans="1:1">
      <c r="A6" s="63" t="s">
        <v>104</v>
      </c>
    </row>
    <row r="7" spans="1:1">
      <c r="A7" s="63" t="s">
        <v>105</v>
      </c>
    </row>
    <row r="8" spans="1:1">
      <c r="A8" s="63" t="s">
        <v>106</v>
      </c>
    </row>
    <row r="9" spans="1:1">
      <c r="A9" s="63" t="s">
        <v>155</v>
      </c>
    </row>
    <row r="11" spans="1:1">
      <c r="A11" s="63" t="s">
        <v>2</v>
      </c>
    </row>
    <row r="12" spans="1:1">
      <c r="A12" s="63" t="s">
        <v>83</v>
      </c>
    </row>
    <row r="13" spans="1:1">
      <c r="A13" s="63" t="s">
        <v>84</v>
      </c>
    </row>
    <row r="14" spans="1:1">
      <c r="A14" s="63" t="s">
        <v>3</v>
      </c>
    </row>
    <row r="15" spans="1:1">
      <c r="A15" s="63" t="s">
        <v>4</v>
      </c>
    </row>
    <row r="16" spans="1:1">
      <c r="A16" s="63" t="s">
        <v>5</v>
      </c>
    </row>
    <row r="17" spans="1:1">
      <c r="A17" s="63" t="s">
        <v>6</v>
      </c>
    </row>
    <row r="18" spans="1:1">
      <c r="A18" s="63" t="s">
        <v>147</v>
      </c>
    </row>
    <row r="19" spans="1:1">
      <c r="A19" s="63" t="s">
        <v>7</v>
      </c>
    </row>
    <row r="20" spans="1:1">
      <c r="A20" s="63" t="s">
        <v>85</v>
      </c>
    </row>
    <row r="22" spans="1:1">
      <c r="A22" s="63" t="s">
        <v>8</v>
      </c>
    </row>
    <row r="23" spans="1:1">
      <c r="A23" s="63" t="s">
        <v>86</v>
      </c>
    </row>
    <row r="24" spans="1:1">
      <c r="A24" s="63" t="s">
        <v>148</v>
      </c>
    </row>
    <row r="26" spans="1:1">
      <c r="A26" s="63" t="s">
        <v>9</v>
      </c>
    </row>
    <row r="27" spans="1:1">
      <c r="A27" s="63" t="s">
        <v>10</v>
      </c>
    </row>
    <row r="28" spans="1:1">
      <c r="A28" s="63" t="s">
        <v>11</v>
      </c>
    </row>
    <row r="29" spans="1:1">
      <c r="A29" s="63" t="s">
        <v>12</v>
      </c>
    </row>
    <row r="31" spans="1:1">
      <c r="A31" s="63" t="s">
        <v>13</v>
      </c>
    </row>
    <row r="32" spans="1:1">
      <c r="A32" s="63" t="s">
        <v>14</v>
      </c>
    </row>
    <row r="33" spans="1:1">
      <c r="A33" s="63" t="s">
        <v>15</v>
      </c>
    </row>
    <row r="34" spans="1:1">
      <c r="A34" s="63" t="s">
        <v>206</v>
      </c>
    </row>
    <row r="36" spans="1:1">
      <c r="A36" s="63" t="s">
        <v>16</v>
      </c>
    </row>
    <row r="37" spans="1:1">
      <c r="A37" s="63" t="s">
        <v>17</v>
      </c>
    </row>
    <row r="38" spans="1:1">
      <c r="A38" s="63" t="s">
        <v>149</v>
      </c>
    </row>
    <row r="39" spans="1:1">
      <c r="A39" s="63" t="s">
        <v>18</v>
      </c>
    </row>
    <row r="40" spans="1:1">
      <c r="A40" s="63" t="s">
        <v>19</v>
      </c>
    </row>
    <row r="41" spans="1:1">
      <c r="A41" s="63" t="s">
        <v>87</v>
      </c>
    </row>
    <row r="42" spans="1:1">
      <c r="A42" s="63" t="s">
        <v>150</v>
      </c>
    </row>
    <row r="43" spans="1:1">
      <c r="A43" s="63" t="s">
        <v>156</v>
      </c>
    </row>
    <row r="44" spans="1:1">
      <c r="A44" s="108" t="s">
        <v>207</v>
      </c>
    </row>
    <row r="46" spans="1:1">
      <c r="A46" s="63" t="s">
        <v>88</v>
      </c>
    </row>
    <row r="47" spans="1:1">
      <c r="A47" s="63" t="s">
        <v>157</v>
      </c>
    </row>
    <row r="49" spans="1:1">
      <c r="A49" s="63" t="s">
        <v>145</v>
      </c>
    </row>
    <row r="50" spans="1:1">
      <c r="A50" s="63" t="s">
        <v>151</v>
      </c>
    </row>
    <row r="51" spans="1:1">
      <c r="A51" s="63" t="s">
        <v>152</v>
      </c>
    </row>
    <row r="52" spans="1:1">
      <c r="A52" s="63" t="s">
        <v>153</v>
      </c>
    </row>
    <row r="53" spans="1:1">
      <c r="A53" s="63" t="s">
        <v>158</v>
      </c>
    </row>
    <row r="55" spans="1:1">
      <c r="A55" s="108" t="s">
        <v>160</v>
      </c>
    </row>
    <row r="56" spans="1:1">
      <c r="A56" s="108" t="s">
        <v>161</v>
      </c>
    </row>
  </sheetData>
  <phoneticPr fontId="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094C8-A66A-4FBF-B21C-D871AABEBB02}">
  <sheetPr>
    <pageSetUpPr fitToPage="1"/>
  </sheetPr>
  <dimension ref="B1:BR46"/>
  <sheetViews>
    <sheetView view="pageBreakPreview" topLeftCell="O22" zoomScale="85" zoomScaleNormal="90" zoomScaleSheetLayoutView="85" workbookViewId="0">
      <selection activeCell="BL39" sqref="BL39"/>
    </sheetView>
  </sheetViews>
  <sheetFormatPr defaultColWidth="3.6640625" defaultRowHeight="16.5"/>
  <cols>
    <col min="1" max="16384" width="3.6640625" style="123"/>
  </cols>
  <sheetData>
    <row r="1" spans="2:70" ht="17" customHeight="1"/>
    <row r="2" spans="2:70" ht="19.25" customHeight="1">
      <c r="B2" s="129" t="s">
        <v>20</v>
      </c>
      <c r="C2" s="129"/>
      <c r="D2" s="129"/>
      <c r="E2" s="129"/>
      <c r="F2" s="129"/>
      <c r="G2" s="129"/>
      <c r="H2" s="129"/>
      <c r="I2" s="129"/>
      <c r="J2" s="129"/>
      <c r="K2" s="129"/>
      <c r="L2" s="129"/>
      <c r="M2" s="129"/>
      <c r="N2" s="129" t="s">
        <v>21</v>
      </c>
      <c r="O2" s="129"/>
      <c r="P2" s="129"/>
      <c r="Q2" s="129"/>
      <c r="R2" s="129"/>
      <c r="S2" s="129"/>
      <c r="T2" s="129"/>
      <c r="U2" s="129"/>
      <c r="V2" s="129"/>
      <c r="W2" s="129"/>
      <c r="X2" s="129"/>
      <c r="Y2" s="129"/>
      <c r="Z2" s="129"/>
      <c r="AA2" s="129"/>
      <c r="AB2" s="129"/>
      <c r="AC2" s="129"/>
      <c r="AD2" s="129"/>
      <c r="AE2" s="129"/>
      <c r="AF2" s="129"/>
      <c r="AG2" s="129"/>
      <c r="AH2" s="129"/>
      <c r="AI2" s="129"/>
      <c r="AK2" s="129" t="s">
        <v>20</v>
      </c>
      <c r="AL2" s="129"/>
      <c r="AM2" s="129"/>
      <c r="AN2" s="129"/>
      <c r="AO2" s="129"/>
      <c r="AP2" s="129"/>
      <c r="AQ2" s="129"/>
      <c r="AR2" s="129"/>
      <c r="AS2" s="129"/>
      <c r="AT2" s="129"/>
      <c r="AU2" s="129"/>
      <c r="AV2" s="129"/>
      <c r="AW2" s="129" t="s">
        <v>21</v>
      </c>
      <c r="AX2" s="129"/>
      <c r="AY2" s="129"/>
      <c r="AZ2" s="129"/>
      <c r="BA2" s="129"/>
      <c r="BB2" s="129"/>
      <c r="BC2" s="129"/>
      <c r="BD2" s="129"/>
      <c r="BE2" s="129"/>
      <c r="BF2" s="129"/>
      <c r="BG2" s="129"/>
      <c r="BH2" s="129"/>
      <c r="BI2" s="129"/>
      <c r="BJ2" s="129"/>
      <c r="BK2" s="129"/>
      <c r="BL2" s="129"/>
      <c r="BM2" s="129"/>
      <c r="BN2" s="129"/>
      <c r="BO2" s="129"/>
      <c r="BP2" s="129"/>
      <c r="BQ2" s="129"/>
      <c r="BR2" s="129"/>
    </row>
    <row r="3" spans="2:70" ht="19.25" customHeight="1">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row>
    <row r="4" spans="2:70" ht="19.25" customHeight="1">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row>
    <row r="5" spans="2:70" ht="16.75" customHeight="1">
      <c r="B5" s="130" t="s">
        <v>22</v>
      </c>
      <c r="C5" s="130"/>
      <c r="D5" s="131" t="s">
        <v>23</v>
      </c>
      <c r="E5" s="131"/>
      <c r="F5" s="131"/>
      <c r="G5" s="131"/>
      <c r="H5" s="131"/>
      <c r="I5" s="131"/>
      <c r="J5" s="131"/>
      <c r="K5" s="131"/>
      <c r="L5" s="132" t="s">
        <v>24</v>
      </c>
      <c r="M5" s="132"/>
      <c r="N5" s="133" t="s">
        <v>25</v>
      </c>
      <c r="O5" s="133"/>
      <c r="P5" s="133"/>
      <c r="Q5" s="133"/>
      <c r="R5" s="133"/>
      <c r="S5" s="133"/>
      <c r="T5" s="133"/>
      <c r="U5" s="133"/>
      <c r="V5" s="133"/>
      <c r="W5" s="133"/>
      <c r="X5" s="133"/>
      <c r="Y5" s="133"/>
      <c r="Z5" s="133"/>
      <c r="AA5" s="133"/>
      <c r="AB5" s="133"/>
      <c r="AC5" s="133"/>
      <c r="AD5" s="133"/>
      <c r="AE5" s="133"/>
      <c r="AF5" s="133"/>
      <c r="AG5" s="133"/>
      <c r="AH5" s="133"/>
      <c r="AI5" s="133"/>
      <c r="AK5" s="130" t="s">
        <v>26</v>
      </c>
      <c r="AL5" s="130"/>
      <c r="AM5" s="134" t="s">
        <v>27</v>
      </c>
      <c r="AN5" s="134"/>
      <c r="AO5" s="134"/>
      <c r="AP5" s="134"/>
      <c r="AQ5" s="134"/>
      <c r="AR5" s="134"/>
      <c r="AS5" s="134"/>
      <c r="AT5" s="134"/>
      <c r="AU5" s="135" t="s">
        <v>168</v>
      </c>
      <c r="AV5" s="135"/>
      <c r="AW5" s="133" t="s">
        <v>25</v>
      </c>
      <c r="AX5" s="133"/>
      <c r="AY5" s="133"/>
      <c r="AZ5" s="133"/>
      <c r="BA5" s="133"/>
      <c r="BB5" s="133"/>
      <c r="BC5" s="133"/>
      <c r="BD5" s="133"/>
      <c r="BE5" s="133"/>
      <c r="BF5" s="133"/>
      <c r="BG5" s="133"/>
      <c r="BH5" s="133"/>
      <c r="BI5" s="133"/>
      <c r="BJ5" s="133"/>
      <c r="BK5" s="133"/>
      <c r="BL5" s="133"/>
      <c r="BM5" s="133"/>
      <c r="BN5" s="133"/>
      <c r="BO5" s="133"/>
      <c r="BP5" s="133"/>
      <c r="BQ5" s="133"/>
      <c r="BR5" s="133"/>
    </row>
    <row r="6" spans="2:70" ht="16.5" customHeight="1">
      <c r="B6" s="130"/>
      <c r="C6" s="130"/>
      <c r="D6" s="131"/>
      <c r="E6" s="131"/>
      <c r="F6" s="131"/>
      <c r="G6" s="131"/>
      <c r="H6" s="131"/>
      <c r="I6" s="131"/>
      <c r="J6" s="131"/>
      <c r="K6" s="131"/>
      <c r="L6" s="132"/>
      <c r="M6" s="132"/>
      <c r="N6" s="133"/>
      <c r="O6" s="133"/>
      <c r="P6" s="133"/>
      <c r="Q6" s="133"/>
      <c r="R6" s="133"/>
      <c r="S6" s="133"/>
      <c r="T6" s="133"/>
      <c r="U6" s="133"/>
      <c r="V6" s="133"/>
      <c r="W6" s="133"/>
      <c r="X6" s="133"/>
      <c r="Y6" s="133"/>
      <c r="Z6" s="133"/>
      <c r="AA6" s="133"/>
      <c r="AB6" s="133"/>
      <c r="AC6" s="133"/>
      <c r="AD6" s="133"/>
      <c r="AE6" s="133"/>
      <c r="AF6" s="133"/>
      <c r="AG6" s="133"/>
      <c r="AH6" s="133"/>
      <c r="AI6" s="133"/>
      <c r="AK6" s="130"/>
      <c r="AL6" s="130"/>
      <c r="AM6" s="134"/>
      <c r="AN6" s="134"/>
      <c r="AO6" s="134"/>
      <c r="AP6" s="134"/>
      <c r="AQ6" s="134"/>
      <c r="AR6" s="134"/>
      <c r="AS6" s="134"/>
      <c r="AT6" s="134"/>
      <c r="AU6" s="135"/>
      <c r="AV6" s="135"/>
      <c r="AW6" s="133"/>
      <c r="AX6" s="133"/>
      <c r="AY6" s="133"/>
      <c r="AZ6" s="133"/>
      <c r="BA6" s="133"/>
      <c r="BB6" s="133"/>
      <c r="BC6" s="133"/>
      <c r="BD6" s="133"/>
      <c r="BE6" s="133"/>
      <c r="BF6" s="133"/>
      <c r="BG6" s="133"/>
      <c r="BH6" s="133"/>
      <c r="BI6" s="133"/>
      <c r="BJ6" s="133"/>
      <c r="BK6" s="133"/>
      <c r="BL6" s="133"/>
      <c r="BM6" s="133"/>
      <c r="BN6" s="133"/>
      <c r="BO6" s="133"/>
      <c r="BP6" s="133"/>
      <c r="BQ6" s="133"/>
      <c r="BR6" s="133"/>
    </row>
    <row r="7" spans="2:70" ht="18" customHeight="1">
      <c r="B7" s="130"/>
      <c r="C7" s="130"/>
      <c r="D7" s="131" t="s">
        <v>29</v>
      </c>
      <c r="E7" s="131"/>
      <c r="F7" s="131"/>
      <c r="G7" s="131"/>
      <c r="H7" s="131"/>
      <c r="I7" s="131"/>
      <c r="J7" s="131"/>
      <c r="K7" s="131"/>
      <c r="L7" s="132" t="s">
        <v>30</v>
      </c>
      <c r="M7" s="132"/>
      <c r="N7" s="133" t="s">
        <v>201</v>
      </c>
      <c r="O7" s="133"/>
      <c r="P7" s="133"/>
      <c r="Q7" s="133"/>
      <c r="R7" s="133"/>
      <c r="S7" s="133"/>
      <c r="T7" s="133"/>
      <c r="U7" s="133"/>
      <c r="V7" s="133"/>
      <c r="W7" s="133"/>
      <c r="X7" s="133"/>
      <c r="Y7" s="133"/>
      <c r="Z7" s="133"/>
      <c r="AA7" s="133"/>
      <c r="AB7" s="133"/>
      <c r="AC7" s="133"/>
      <c r="AD7" s="133"/>
      <c r="AE7" s="133"/>
      <c r="AF7" s="133"/>
      <c r="AG7" s="133"/>
      <c r="AH7" s="133"/>
      <c r="AI7" s="133"/>
      <c r="AK7" s="130"/>
      <c r="AL7" s="130"/>
      <c r="AM7" s="134" t="s">
        <v>169</v>
      </c>
      <c r="AN7" s="134"/>
      <c r="AO7" s="134"/>
      <c r="AP7" s="134"/>
      <c r="AQ7" s="134"/>
      <c r="AR7" s="134"/>
      <c r="AS7" s="134"/>
      <c r="AT7" s="134"/>
      <c r="AU7" s="135" t="s">
        <v>167</v>
      </c>
      <c r="AV7" s="135"/>
      <c r="AW7" s="133" t="s">
        <v>171</v>
      </c>
      <c r="AX7" s="133"/>
      <c r="AY7" s="133"/>
      <c r="AZ7" s="133"/>
      <c r="BA7" s="133"/>
      <c r="BB7" s="133"/>
      <c r="BC7" s="133"/>
      <c r="BD7" s="133"/>
      <c r="BE7" s="133"/>
      <c r="BF7" s="133"/>
      <c r="BG7" s="133"/>
      <c r="BH7" s="133"/>
      <c r="BI7" s="133"/>
      <c r="BJ7" s="133"/>
      <c r="BK7" s="133"/>
      <c r="BL7" s="133"/>
      <c r="BM7" s="133"/>
      <c r="BN7" s="133"/>
      <c r="BO7" s="133"/>
      <c r="BP7" s="133"/>
      <c r="BQ7" s="133"/>
      <c r="BR7" s="133"/>
    </row>
    <row r="8" spans="2:70" ht="20" customHeight="1">
      <c r="B8" s="130"/>
      <c r="C8" s="130"/>
      <c r="D8" s="131"/>
      <c r="E8" s="131"/>
      <c r="F8" s="131"/>
      <c r="G8" s="131"/>
      <c r="H8" s="131"/>
      <c r="I8" s="131"/>
      <c r="J8" s="131"/>
      <c r="K8" s="131"/>
      <c r="L8" s="132"/>
      <c r="M8" s="132"/>
      <c r="N8" s="133"/>
      <c r="O8" s="133"/>
      <c r="P8" s="133"/>
      <c r="Q8" s="133"/>
      <c r="R8" s="133"/>
      <c r="S8" s="133"/>
      <c r="T8" s="133"/>
      <c r="U8" s="133"/>
      <c r="V8" s="133"/>
      <c r="W8" s="133"/>
      <c r="X8" s="133"/>
      <c r="Y8" s="133"/>
      <c r="Z8" s="133"/>
      <c r="AA8" s="133"/>
      <c r="AB8" s="133"/>
      <c r="AC8" s="133"/>
      <c r="AD8" s="133"/>
      <c r="AE8" s="133"/>
      <c r="AF8" s="133"/>
      <c r="AG8" s="133"/>
      <c r="AH8" s="133"/>
      <c r="AI8" s="133"/>
      <c r="AK8" s="130"/>
      <c r="AL8" s="130"/>
      <c r="AM8" s="134"/>
      <c r="AN8" s="134"/>
      <c r="AO8" s="134"/>
      <c r="AP8" s="134"/>
      <c r="AQ8" s="134"/>
      <c r="AR8" s="134"/>
      <c r="AS8" s="134"/>
      <c r="AT8" s="134"/>
      <c r="AU8" s="135"/>
      <c r="AV8" s="135"/>
      <c r="AW8" s="133"/>
      <c r="AX8" s="133"/>
      <c r="AY8" s="133"/>
      <c r="AZ8" s="133"/>
      <c r="BA8" s="133"/>
      <c r="BB8" s="133"/>
      <c r="BC8" s="133"/>
      <c r="BD8" s="133"/>
      <c r="BE8" s="133"/>
      <c r="BF8" s="133"/>
      <c r="BG8" s="133"/>
      <c r="BH8" s="133"/>
      <c r="BI8" s="133"/>
      <c r="BJ8" s="133"/>
      <c r="BK8" s="133"/>
      <c r="BL8" s="133"/>
      <c r="BM8" s="133"/>
      <c r="BN8" s="133"/>
      <c r="BO8" s="133"/>
      <c r="BP8" s="133"/>
      <c r="BQ8" s="133"/>
      <c r="BR8" s="133"/>
    </row>
    <row r="9" spans="2:70" ht="16.5" customHeight="1">
      <c r="B9" s="130"/>
      <c r="C9" s="130"/>
      <c r="D9" s="131" t="s">
        <v>33</v>
      </c>
      <c r="E9" s="131"/>
      <c r="F9" s="131"/>
      <c r="G9" s="131"/>
      <c r="H9" s="131"/>
      <c r="I9" s="131"/>
      <c r="J9" s="131"/>
      <c r="K9" s="131"/>
      <c r="L9" s="132"/>
      <c r="M9" s="132"/>
      <c r="N9" s="133"/>
      <c r="O9" s="133"/>
      <c r="P9" s="133"/>
      <c r="Q9" s="133"/>
      <c r="R9" s="133"/>
      <c r="S9" s="133"/>
      <c r="T9" s="133"/>
      <c r="U9" s="133"/>
      <c r="V9" s="133"/>
      <c r="W9" s="133"/>
      <c r="X9" s="133"/>
      <c r="Y9" s="133"/>
      <c r="Z9" s="133"/>
      <c r="AA9" s="133"/>
      <c r="AB9" s="133"/>
      <c r="AC9" s="133"/>
      <c r="AD9" s="133"/>
      <c r="AE9" s="133"/>
      <c r="AF9" s="133"/>
      <c r="AG9" s="133"/>
      <c r="AH9" s="133"/>
      <c r="AI9" s="133"/>
      <c r="AK9" s="130"/>
      <c r="AL9" s="130"/>
      <c r="AM9" s="134" t="s">
        <v>170</v>
      </c>
      <c r="AN9" s="134"/>
      <c r="AO9" s="134"/>
      <c r="AP9" s="134"/>
      <c r="AQ9" s="134"/>
      <c r="AR9" s="134"/>
      <c r="AS9" s="134"/>
      <c r="AT9" s="134"/>
      <c r="AU9" s="135"/>
      <c r="AV9" s="135"/>
      <c r="AW9" s="133"/>
      <c r="AX9" s="133"/>
      <c r="AY9" s="133"/>
      <c r="AZ9" s="133"/>
      <c r="BA9" s="133"/>
      <c r="BB9" s="133"/>
      <c r="BC9" s="133"/>
      <c r="BD9" s="133"/>
      <c r="BE9" s="133"/>
      <c r="BF9" s="133"/>
      <c r="BG9" s="133"/>
      <c r="BH9" s="133"/>
      <c r="BI9" s="133"/>
      <c r="BJ9" s="133"/>
      <c r="BK9" s="133"/>
      <c r="BL9" s="133"/>
      <c r="BM9" s="133"/>
      <c r="BN9" s="133"/>
      <c r="BO9" s="133"/>
      <c r="BP9" s="133"/>
      <c r="BQ9" s="133"/>
      <c r="BR9" s="133"/>
    </row>
    <row r="10" spans="2:70" ht="16.5" customHeight="1">
      <c r="B10" s="130"/>
      <c r="C10" s="130"/>
      <c r="D10" s="131"/>
      <c r="E10" s="131"/>
      <c r="F10" s="131"/>
      <c r="G10" s="131"/>
      <c r="H10" s="131"/>
      <c r="I10" s="131"/>
      <c r="J10" s="131"/>
      <c r="K10" s="131"/>
      <c r="L10" s="132"/>
      <c r="M10" s="132"/>
      <c r="N10" s="133"/>
      <c r="O10" s="133"/>
      <c r="P10" s="133"/>
      <c r="Q10" s="133"/>
      <c r="R10" s="133"/>
      <c r="S10" s="133"/>
      <c r="T10" s="133"/>
      <c r="U10" s="133"/>
      <c r="V10" s="133"/>
      <c r="W10" s="133"/>
      <c r="X10" s="133"/>
      <c r="Y10" s="133"/>
      <c r="Z10" s="133"/>
      <c r="AA10" s="133"/>
      <c r="AB10" s="133"/>
      <c r="AC10" s="133"/>
      <c r="AD10" s="133"/>
      <c r="AE10" s="133"/>
      <c r="AF10" s="133"/>
      <c r="AG10" s="133"/>
      <c r="AH10" s="133"/>
      <c r="AI10" s="133"/>
      <c r="AK10" s="130"/>
      <c r="AL10" s="130"/>
      <c r="AM10" s="134"/>
      <c r="AN10" s="134"/>
      <c r="AO10" s="134"/>
      <c r="AP10" s="134"/>
      <c r="AQ10" s="134"/>
      <c r="AR10" s="134"/>
      <c r="AS10" s="134"/>
      <c r="AT10" s="134"/>
      <c r="AU10" s="135"/>
      <c r="AV10" s="135"/>
      <c r="AW10" s="133"/>
      <c r="AX10" s="133"/>
      <c r="AY10" s="133"/>
      <c r="AZ10" s="133"/>
      <c r="BA10" s="133"/>
      <c r="BB10" s="133"/>
      <c r="BC10" s="133"/>
      <c r="BD10" s="133"/>
      <c r="BE10" s="133"/>
      <c r="BF10" s="133"/>
      <c r="BG10" s="133"/>
      <c r="BH10" s="133"/>
      <c r="BI10" s="133"/>
      <c r="BJ10" s="133"/>
      <c r="BK10" s="133"/>
      <c r="BL10" s="133"/>
      <c r="BM10" s="133"/>
      <c r="BN10" s="133"/>
      <c r="BO10" s="133"/>
      <c r="BP10" s="133"/>
      <c r="BQ10" s="133"/>
      <c r="BR10" s="133"/>
    </row>
    <row r="11" spans="2:70" ht="16.25" customHeight="1">
      <c r="B11" s="130"/>
      <c r="C11" s="130"/>
      <c r="D11" s="131" t="s">
        <v>33</v>
      </c>
      <c r="E11" s="131"/>
      <c r="F11" s="131"/>
      <c r="G11" s="131"/>
      <c r="H11" s="131"/>
      <c r="I11" s="131"/>
      <c r="J11" s="131"/>
      <c r="K11" s="131"/>
      <c r="L11" s="132" t="s">
        <v>35</v>
      </c>
      <c r="M11" s="132"/>
      <c r="N11" s="133" t="s">
        <v>202</v>
      </c>
      <c r="O11" s="133"/>
      <c r="P11" s="133"/>
      <c r="Q11" s="133"/>
      <c r="R11" s="133"/>
      <c r="S11" s="133"/>
      <c r="T11" s="133"/>
      <c r="U11" s="133"/>
      <c r="V11" s="133"/>
      <c r="W11" s="133"/>
      <c r="X11" s="133"/>
      <c r="Y11" s="133"/>
      <c r="Z11" s="133"/>
      <c r="AA11" s="133"/>
      <c r="AB11" s="133"/>
      <c r="AC11" s="133"/>
      <c r="AD11" s="133"/>
      <c r="AE11" s="133"/>
      <c r="AF11" s="133"/>
      <c r="AG11" s="133"/>
      <c r="AH11" s="133"/>
      <c r="AI11" s="133"/>
      <c r="AK11" s="130"/>
      <c r="AL11" s="130"/>
      <c r="AM11" s="134" t="s">
        <v>31</v>
      </c>
      <c r="AN11" s="134"/>
      <c r="AO11" s="134"/>
      <c r="AP11" s="134"/>
      <c r="AQ11" s="134"/>
      <c r="AR11" s="134"/>
      <c r="AS11" s="134"/>
      <c r="AT11" s="134"/>
      <c r="AU11" s="135" t="s">
        <v>32</v>
      </c>
      <c r="AV11" s="135"/>
      <c r="AW11" s="133" t="s">
        <v>173</v>
      </c>
      <c r="AX11" s="133"/>
      <c r="AY11" s="133"/>
      <c r="AZ11" s="133"/>
      <c r="BA11" s="133"/>
      <c r="BB11" s="133"/>
      <c r="BC11" s="133"/>
      <c r="BD11" s="133"/>
      <c r="BE11" s="133"/>
      <c r="BF11" s="133"/>
      <c r="BG11" s="133"/>
      <c r="BH11" s="133"/>
      <c r="BI11" s="133"/>
      <c r="BJ11" s="133"/>
      <c r="BK11" s="133"/>
      <c r="BL11" s="133"/>
      <c r="BM11" s="133"/>
      <c r="BN11" s="133"/>
      <c r="BO11" s="133"/>
      <c r="BP11" s="133"/>
      <c r="BQ11" s="133"/>
      <c r="BR11" s="133"/>
    </row>
    <row r="12" spans="2:70" ht="16.5" customHeight="1">
      <c r="B12" s="130"/>
      <c r="C12" s="130"/>
      <c r="D12" s="131"/>
      <c r="E12" s="131"/>
      <c r="F12" s="131"/>
      <c r="G12" s="131"/>
      <c r="H12" s="131"/>
      <c r="I12" s="131"/>
      <c r="J12" s="131"/>
      <c r="K12" s="131"/>
      <c r="L12" s="132"/>
      <c r="M12" s="132"/>
      <c r="N12" s="133"/>
      <c r="O12" s="133"/>
      <c r="P12" s="133"/>
      <c r="Q12" s="133"/>
      <c r="R12" s="133"/>
      <c r="S12" s="133"/>
      <c r="T12" s="133"/>
      <c r="U12" s="133"/>
      <c r="V12" s="133"/>
      <c r="W12" s="133"/>
      <c r="X12" s="133"/>
      <c r="Y12" s="133"/>
      <c r="Z12" s="133"/>
      <c r="AA12" s="133"/>
      <c r="AB12" s="133"/>
      <c r="AC12" s="133"/>
      <c r="AD12" s="133"/>
      <c r="AE12" s="133"/>
      <c r="AF12" s="133"/>
      <c r="AG12" s="133"/>
      <c r="AH12" s="133"/>
      <c r="AI12" s="133"/>
      <c r="AK12" s="130"/>
      <c r="AL12" s="130"/>
      <c r="AM12" s="134"/>
      <c r="AN12" s="134"/>
      <c r="AO12" s="134"/>
      <c r="AP12" s="134"/>
      <c r="AQ12" s="134"/>
      <c r="AR12" s="134"/>
      <c r="AS12" s="134"/>
      <c r="AT12" s="134"/>
      <c r="AU12" s="135"/>
      <c r="AV12" s="135"/>
      <c r="AW12" s="133"/>
      <c r="AX12" s="133"/>
      <c r="AY12" s="133"/>
      <c r="AZ12" s="133"/>
      <c r="BA12" s="133"/>
      <c r="BB12" s="133"/>
      <c r="BC12" s="133"/>
      <c r="BD12" s="133"/>
      <c r="BE12" s="133"/>
      <c r="BF12" s="133"/>
      <c r="BG12" s="133"/>
      <c r="BH12" s="133"/>
      <c r="BI12" s="133"/>
      <c r="BJ12" s="133"/>
      <c r="BK12" s="133"/>
      <c r="BL12" s="133"/>
      <c r="BM12" s="133"/>
      <c r="BN12" s="133"/>
      <c r="BO12" s="133"/>
      <c r="BP12" s="133"/>
      <c r="BQ12" s="133"/>
      <c r="BR12" s="133"/>
    </row>
    <row r="13" spans="2:70" ht="24" customHeight="1">
      <c r="B13" s="130"/>
      <c r="C13" s="130"/>
      <c r="D13" s="131" t="s">
        <v>37</v>
      </c>
      <c r="E13" s="131"/>
      <c r="F13" s="131"/>
      <c r="G13" s="131"/>
      <c r="H13" s="131"/>
      <c r="I13" s="131"/>
      <c r="J13" s="131"/>
      <c r="K13" s="131"/>
      <c r="L13" s="132"/>
      <c r="M13" s="132"/>
      <c r="N13" s="133"/>
      <c r="O13" s="133"/>
      <c r="P13" s="133"/>
      <c r="Q13" s="133"/>
      <c r="R13" s="133"/>
      <c r="S13" s="133"/>
      <c r="T13" s="133"/>
      <c r="U13" s="133"/>
      <c r="V13" s="133"/>
      <c r="W13" s="133"/>
      <c r="X13" s="133"/>
      <c r="Y13" s="133"/>
      <c r="Z13" s="133"/>
      <c r="AA13" s="133"/>
      <c r="AB13" s="133"/>
      <c r="AC13" s="133"/>
      <c r="AD13" s="133"/>
      <c r="AE13" s="133"/>
      <c r="AF13" s="133"/>
      <c r="AG13" s="133"/>
      <c r="AH13" s="133"/>
      <c r="AI13" s="133"/>
      <c r="AK13" s="130"/>
      <c r="AL13" s="130"/>
      <c r="AM13" s="134" t="s">
        <v>165</v>
      </c>
      <c r="AN13" s="134"/>
      <c r="AO13" s="134"/>
      <c r="AP13" s="134"/>
      <c r="AQ13" s="134"/>
      <c r="AR13" s="134"/>
      <c r="AS13" s="134"/>
      <c r="AT13" s="134"/>
      <c r="AU13" s="135"/>
      <c r="AV13" s="135"/>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row>
    <row r="14" spans="2:70" ht="18" customHeight="1">
      <c r="B14" s="130"/>
      <c r="C14" s="130"/>
      <c r="D14" s="131"/>
      <c r="E14" s="131"/>
      <c r="F14" s="131"/>
      <c r="G14" s="131"/>
      <c r="H14" s="131"/>
      <c r="I14" s="131"/>
      <c r="J14" s="131"/>
      <c r="K14" s="131"/>
      <c r="L14" s="132"/>
      <c r="M14" s="132"/>
      <c r="N14" s="133"/>
      <c r="O14" s="133"/>
      <c r="P14" s="133"/>
      <c r="Q14" s="133"/>
      <c r="R14" s="133"/>
      <c r="S14" s="133"/>
      <c r="T14" s="133"/>
      <c r="U14" s="133"/>
      <c r="V14" s="133"/>
      <c r="W14" s="133"/>
      <c r="X14" s="133"/>
      <c r="Y14" s="133"/>
      <c r="Z14" s="133"/>
      <c r="AA14" s="133"/>
      <c r="AB14" s="133"/>
      <c r="AC14" s="133"/>
      <c r="AD14" s="133"/>
      <c r="AE14" s="133"/>
      <c r="AF14" s="133"/>
      <c r="AG14" s="133"/>
      <c r="AH14" s="133"/>
      <c r="AI14" s="133"/>
      <c r="AK14" s="130"/>
      <c r="AL14" s="130"/>
      <c r="AM14" s="134"/>
      <c r="AN14" s="134"/>
      <c r="AO14" s="134"/>
      <c r="AP14" s="134"/>
      <c r="AQ14" s="134"/>
      <c r="AR14" s="134"/>
      <c r="AS14" s="134"/>
      <c r="AT14" s="134"/>
      <c r="AU14" s="135"/>
      <c r="AV14" s="135"/>
      <c r="AW14" s="133"/>
      <c r="AX14" s="133"/>
      <c r="AY14" s="133"/>
      <c r="AZ14" s="133"/>
      <c r="BA14" s="133"/>
      <c r="BB14" s="133"/>
      <c r="BC14" s="133"/>
      <c r="BD14" s="133"/>
      <c r="BE14" s="133"/>
      <c r="BF14" s="133"/>
      <c r="BG14" s="133"/>
      <c r="BH14" s="133"/>
      <c r="BI14" s="133"/>
      <c r="BJ14" s="133"/>
      <c r="BK14" s="133"/>
      <c r="BL14" s="133"/>
      <c r="BM14" s="133"/>
      <c r="BN14" s="133"/>
      <c r="BO14" s="133"/>
      <c r="BP14" s="133"/>
      <c r="BQ14" s="133"/>
      <c r="BR14" s="133"/>
    </row>
    <row r="15" spans="2:70" ht="16.5" customHeight="1">
      <c r="B15" s="130"/>
      <c r="C15" s="130"/>
      <c r="D15" s="131" t="s">
        <v>39</v>
      </c>
      <c r="E15" s="131"/>
      <c r="F15" s="131"/>
      <c r="G15" s="131"/>
      <c r="H15" s="131"/>
      <c r="I15" s="131"/>
      <c r="J15" s="131"/>
      <c r="K15" s="131"/>
      <c r="L15" s="132"/>
      <c r="M15" s="132"/>
      <c r="N15" s="133"/>
      <c r="O15" s="133"/>
      <c r="P15" s="133"/>
      <c r="Q15" s="133"/>
      <c r="R15" s="133"/>
      <c r="S15" s="133"/>
      <c r="T15" s="133"/>
      <c r="U15" s="133"/>
      <c r="V15" s="133"/>
      <c r="W15" s="133"/>
      <c r="X15" s="133"/>
      <c r="Y15" s="133"/>
      <c r="Z15" s="133"/>
      <c r="AA15" s="133"/>
      <c r="AB15" s="133"/>
      <c r="AC15" s="133"/>
      <c r="AD15" s="133"/>
      <c r="AE15" s="133"/>
      <c r="AF15" s="133"/>
      <c r="AG15" s="133"/>
      <c r="AH15" s="133"/>
      <c r="AI15" s="133"/>
      <c r="AK15" s="130"/>
      <c r="AL15" s="130"/>
      <c r="AM15" s="134" t="s">
        <v>165</v>
      </c>
      <c r="AN15" s="134"/>
      <c r="AO15" s="134"/>
      <c r="AP15" s="134"/>
      <c r="AQ15" s="134"/>
      <c r="AR15" s="134"/>
      <c r="AS15" s="134"/>
      <c r="AT15" s="134"/>
      <c r="AU15" s="135" t="s">
        <v>34</v>
      </c>
      <c r="AV15" s="135"/>
      <c r="AW15" s="133" t="s">
        <v>172</v>
      </c>
      <c r="AX15" s="133"/>
      <c r="AY15" s="133"/>
      <c r="AZ15" s="133"/>
      <c r="BA15" s="133"/>
      <c r="BB15" s="133"/>
      <c r="BC15" s="133"/>
      <c r="BD15" s="133"/>
      <c r="BE15" s="133"/>
      <c r="BF15" s="133"/>
      <c r="BG15" s="133"/>
      <c r="BH15" s="133"/>
      <c r="BI15" s="133"/>
      <c r="BJ15" s="133"/>
      <c r="BK15" s="133"/>
      <c r="BL15" s="133"/>
      <c r="BM15" s="133"/>
      <c r="BN15" s="133"/>
      <c r="BO15" s="133"/>
      <c r="BP15" s="133"/>
      <c r="BQ15" s="133"/>
      <c r="BR15" s="133"/>
    </row>
    <row r="16" spans="2:70" ht="16.5" customHeight="1">
      <c r="B16" s="130"/>
      <c r="C16" s="130"/>
      <c r="D16" s="131"/>
      <c r="E16" s="131"/>
      <c r="F16" s="131"/>
      <c r="G16" s="131"/>
      <c r="H16" s="131"/>
      <c r="I16" s="131"/>
      <c r="J16" s="131"/>
      <c r="K16" s="131"/>
      <c r="L16" s="132"/>
      <c r="M16" s="132"/>
      <c r="N16" s="133"/>
      <c r="O16" s="133"/>
      <c r="P16" s="133"/>
      <c r="Q16" s="133"/>
      <c r="R16" s="133"/>
      <c r="S16" s="133"/>
      <c r="T16" s="133"/>
      <c r="U16" s="133"/>
      <c r="V16" s="133"/>
      <c r="W16" s="133"/>
      <c r="X16" s="133"/>
      <c r="Y16" s="133"/>
      <c r="Z16" s="133"/>
      <c r="AA16" s="133"/>
      <c r="AB16" s="133"/>
      <c r="AC16" s="133"/>
      <c r="AD16" s="133"/>
      <c r="AE16" s="133"/>
      <c r="AF16" s="133"/>
      <c r="AG16" s="133"/>
      <c r="AH16" s="133"/>
      <c r="AI16" s="133"/>
      <c r="AK16" s="130"/>
      <c r="AL16" s="130"/>
      <c r="AM16" s="134"/>
      <c r="AN16" s="134"/>
      <c r="AO16" s="134"/>
      <c r="AP16" s="134"/>
      <c r="AQ16" s="134"/>
      <c r="AR16" s="134"/>
      <c r="AS16" s="134"/>
      <c r="AT16" s="134"/>
      <c r="AU16" s="135"/>
      <c r="AV16" s="135"/>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row>
    <row r="17" spans="2:70" ht="18.5" customHeight="1">
      <c r="B17" s="130"/>
      <c r="C17" s="130"/>
      <c r="D17" s="131" t="s">
        <v>175</v>
      </c>
      <c r="E17" s="131"/>
      <c r="F17" s="131"/>
      <c r="G17" s="131"/>
      <c r="H17" s="131"/>
      <c r="I17" s="131"/>
      <c r="J17" s="131"/>
      <c r="K17" s="131"/>
      <c r="L17" s="132" t="s">
        <v>42</v>
      </c>
      <c r="M17" s="132"/>
      <c r="N17" s="133" t="s">
        <v>203</v>
      </c>
      <c r="O17" s="133"/>
      <c r="P17" s="133"/>
      <c r="Q17" s="133"/>
      <c r="R17" s="133"/>
      <c r="S17" s="133"/>
      <c r="T17" s="133"/>
      <c r="U17" s="133"/>
      <c r="V17" s="133"/>
      <c r="W17" s="133"/>
      <c r="X17" s="133"/>
      <c r="Y17" s="133"/>
      <c r="Z17" s="133"/>
      <c r="AA17" s="133"/>
      <c r="AB17" s="133"/>
      <c r="AC17" s="133"/>
      <c r="AD17" s="133"/>
      <c r="AE17" s="133"/>
      <c r="AF17" s="133"/>
      <c r="AG17" s="133"/>
      <c r="AH17" s="133"/>
      <c r="AI17" s="133"/>
      <c r="AK17" s="130"/>
      <c r="AL17" s="130"/>
      <c r="AM17" s="134" t="s">
        <v>174</v>
      </c>
      <c r="AN17" s="134"/>
      <c r="AO17" s="134"/>
      <c r="AP17" s="134"/>
      <c r="AQ17" s="134"/>
      <c r="AR17" s="134"/>
      <c r="AS17" s="134"/>
      <c r="AT17" s="134"/>
      <c r="AU17" s="135"/>
      <c r="AV17" s="135"/>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row>
    <row r="18" spans="2:70" ht="20" customHeight="1">
      <c r="B18" s="130"/>
      <c r="C18" s="130"/>
      <c r="D18" s="131"/>
      <c r="E18" s="131"/>
      <c r="F18" s="131"/>
      <c r="G18" s="131"/>
      <c r="H18" s="131"/>
      <c r="I18" s="131"/>
      <c r="J18" s="131"/>
      <c r="K18" s="131"/>
      <c r="L18" s="132"/>
      <c r="M18" s="132"/>
      <c r="N18" s="133"/>
      <c r="O18" s="133"/>
      <c r="P18" s="133"/>
      <c r="Q18" s="133"/>
      <c r="R18" s="133"/>
      <c r="S18" s="133"/>
      <c r="T18" s="133"/>
      <c r="U18" s="133"/>
      <c r="V18" s="133"/>
      <c r="W18" s="133"/>
      <c r="X18" s="133"/>
      <c r="Y18" s="133"/>
      <c r="Z18" s="133"/>
      <c r="AA18" s="133"/>
      <c r="AB18" s="133"/>
      <c r="AC18" s="133"/>
      <c r="AD18" s="133"/>
      <c r="AE18" s="133"/>
      <c r="AF18" s="133"/>
      <c r="AG18" s="133"/>
      <c r="AH18" s="133"/>
      <c r="AI18" s="133"/>
      <c r="AK18" s="130"/>
      <c r="AL18" s="130"/>
      <c r="AM18" s="134"/>
      <c r="AN18" s="134"/>
      <c r="AO18" s="134"/>
      <c r="AP18" s="134"/>
      <c r="AQ18" s="134"/>
      <c r="AR18" s="134"/>
      <c r="AS18" s="134"/>
      <c r="AT18" s="134"/>
      <c r="AU18" s="135"/>
      <c r="AV18" s="135"/>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row>
    <row r="19" spans="2:70" ht="16.5" customHeight="1">
      <c r="B19" s="130"/>
      <c r="C19" s="130"/>
      <c r="D19" s="131" t="s">
        <v>37</v>
      </c>
      <c r="E19" s="131"/>
      <c r="F19" s="131"/>
      <c r="G19" s="131"/>
      <c r="H19" s="131"/>
      <c r="I19" s="131"/>
      <c r="J19" s="131"/>
      <c r="K19" s="131"/>
      <c r="L19" s="132"/>
      <c r="M19" s="132"/>
      <c r="N19" s="133"/>
      <c r="O19" s="133"/>
      <c r="P19" s="133"/>
      <c r="Q19" s="133"/>
      <c r="R19" s="133"/>
      <c r="S19" s="133"/>
      <c r="T19" s="133"/>
      <c r="U19" s="133"/>
      <c r="V19" s="133"/>
      <c r="W19" s="133"/>
      <c r="X19" s="133"/>
      <c r="Y19" s="133"/>
      <c r="Z19" s="133"/>
      <c r="AA19" s="133"/>
      <c r="AB19" s="133"/>
      <c r="AC19" s="133"/>
      <c r="AD19" s="133"/>
      <c r="AE19" s="133"/>
      <c r="AF19" s="133"/>
      <c r="AG19" s="133"/>
      <c r="AH19" s="133"/>
      <c r="AI19" s="133"/>
      <c r="AK19" s="130"/>
      <c r="AL19" s="130"/>
      <c r="AM19" s="134" t="s">
        <v>36</v>
      </c>
      <c r="AN19" s="134"/>
      <c r="AO19" s="134"/>
      <c r="AP19" s="134"/>
      <c r="AQ19" s="134"/>
      <c r="AR19" s="134"/>
      <c r="AS19" s="134"/>
      <c r="AT19" s="134"/>
      <c r="AU19" s="135" t="s">
        <v>38</v>
      </c>
      <c r="AV19" s="135"/>
      <c r="AW19" s="133" t="s">
        <v>204</v>
      </c>
      <c r="AX19" s="133"/>
      <c r="AY19" s="133"/>
      <c r="AZ19" s="133"/>
      <c r="BA19" s="133"/>
      <c r="BB19" s="133"/>
      <c r="BC19" s="133"/>
      <c r="BD19" s="133"/>
      <c r="BE19" s="133"/>
      <c r="BF19" s="133"/>
      <c r="BG19" s="133"/>
      <c r="BH19" s="133"/>
      <c r="BI19" s="133"/>
      <c r="BJ19" s="133"/>
      <c r="BK19" s="133"/>
      <c r="BL19" s="133"/>
      <c r="BM19" s="133"/>
      <c r="BN19" s="133"/>
      <c r="BO19" s="133"/>
      <c r="BP19" s="133"/>
      <c r="BQ19" s="133"/>
      <c r="BR19" s="133"/>
    </row>
    <row r="20" spans="2:70" ht="16.5" customHeight="1">
      <c r="B20" s="130"/>
      <c r="C20" s="130"/>
      <c r="D20" s="131"/>
      <c r="E20" s="131"/>
      <c r="F20" s="131"/>
      <c r="G20" s="131"/>
      <c r="H20" s="131"/>
      <c r="I20" s="131"/>
      <c r="J20" s="131"/>
      <c r="K20" s="131"/>
      <c r="L20" s="132"/>
      <c r="M20" s="132"/>
      <c r="N20" s="133"/>
      <c r="O20" s="133"/>
      <c r="P20" s="133"/>
      <c r="Q20" s="133"/>
      <c r="R20" s="133"/>
      <c r="S20" s="133"/>
      <c r="T20" s="133"/>
      <c r="U20" s="133"/>
      <c r="V20" s="133"/>
      <c r="W20" s="133"/>
      <c r="X20" s="133"/>
      <c r="Y20" s="133"/>
      <c r="Z20" s="133"/>
      <c r="AA20" s="133"/>
      <c r="AB20" s="133"/>
      <c r="AC20" s="133"/>
      <c r="AD20" s="133"/>
      <c r="AE20" s="133"/>
      <c r="AF20" s="133"/>
      <c r="AG20" s="133"/>
      <c r="AH20" s="133"/>
      <c r="AI20" s="133"/>
      <c r="AK20" s="130"/>
      <c r="AL20" s="130"/>
      <c r="AM20" s="134"/>
      <c r="AN20" s="134"/>
      <c r="AO20" s="134"/>
      <c r="AP20" s="134"/>
      <c r="AQ20" s="134"/>
      <c r="AR20" s="134"/>
      <c r="AS20" s="134"/>
      <c r="AT20" s="134"/>
      <c r="AU20" s="135"/>
      <c r="AV20" s="135"/>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row>
    <row r="21" spans="2:70" ht="16.5" customHeight="1">
      <c r="B21" s="130"/>
      <c r="C21" s="130"/>
      <c r="D21" s="131" t="s">
        <v>41</v>
      </c>
      <c r="E21" s="131"/>
      <c r="F21" s="131"/>
      <c r="G21" s="131"/>
      <c r="H21" s="131"/>
      <c r="I21" s="131"/>
      <c r="J21" s="131"/>
      <c r="K21" s="131"/>
      <c r="L21" s="132"/>
      <c r="M21" s="132"/>
      <c r="N21" s="133"/>
      <c r="O21" s="133"/>
      <c r="P21" s="133"/>
      <c r="Q21" s="133"/>
      <c r="R21" s="133"/>
      <c r="S21" s="133"/>
      <c r="T21" s="133"/>
      <c r="U21" s="133"/>
      <c r="V21" s="133"/>
      <c r="W21" s="133"/>
      <c r="X21" s="133"/>
      <c r="Y21" s="133"/>
      <c r="Z21" s="133"/>
      <c r="AA21" s="133"/>
      <c r="AB21" s="133"/>
      <c r="AC21" s="133"/>
      <c r="AD21" s="133"/>
      <c r="AE21" s="133"/>
      <c r="AF21" s="133"/>
      <c r="AG21" s="133"/>
      <c r="AH21" s="133"/>
      <c r="AI21" s="133"/>
      <c r="AK21" s="130"/>
      <c r="AL21" s="130"/>
      <c r="AM21" s="134" t="s">
        <v>40</v>
      </c>
      <c r="AN21" s="134"/>
      <c r="AO21" s="134"/>
      <c r="AP21" s="134"/>
      <c r="AQ21" s="134"/>
      <c r="AR21" s="134"/>
      <c r="AS21" s="134"/>
      <c r="AT21" s="134"/>
      <c r="AU21" s="135"/>
      <c r="AV21" s="135"/>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row>
    <row r="22" spans="2:70" ht="16.5" customHeight="1">
      <c r="B22" s="130"/>
      <c r="C22" s="130"/>
      <c r="D22" s="131"/>
      <c r="E22" s="131"/>
      <c r="F22" s="131"/>
      <c r="G22" s="131"/>
      <c r="H22" s="131"/>
      <c r="I22" s="131"/>
      <c r="J22" s="131"/>
      <c r="K22" s="131"/>
      <c r="L22" s="132"/>
      <c r="M22" s="132"/>
      <c r="N22" s="133"/>
      <c r="O22" s="133"/>
      <c r="P22" s="133"/>
      <c r="Q22" s="133"/>
      <c r="R22" s="133"/>
      <c r="S22" s="133"/>
      <c r="T22" s="133"/>
      <c r="U22" s="133"/>
      <c r="V22" s="133"/>
      <c r="W22" s="133"/>
      <c r="X22" s="133"/>
      <c r="Y22" s="133"/>
      <c r="Z22" s="133"/>
      <c r="AA22" s="133"/>
      <c r="AB22" s="133"/>
      <c r="AC22" s="133"/>
      <c r="AD22" s="133"/>
      <c r="AE22" s="133"/>
      <c r="AF22" s="133"/>
      <c r="AG22" s="133"/>
      <c r="AH22" s="133"/>
      <c r="AI22" s="133"/>
      <c r="AK22" s="130"/>
      <c r="AL22" s="130"/>
      <c r="AM22" s="134"/>
      <c r="AN22" s="134"/>
      <c r="AO22" s="134"/>
      <c r="AP22" s="134"/>
      <c r="AQ22" s="134"/>
      <c r="AR22" s="134"/>
      <c r="AS22" s="134"/>
      <c r="AT22" s="134"/>
      <c r="AU22" s="135"/>
      <c r="AV22" s="135"/>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row>
    <row r="23" spans="2:70" ht="16.25" customHeight="1">
      <c r="B23" s="130"/>
      <c r="C23" s="130"/>
      <c r="D23" s="131" t="s">
        <v>43</v>
      </c>
      <c r="E23" s="131"/>
      <c r="F23" s="131"/>
      <c r="G23" s="131"/>
      <c r="H23" s="131"/>
      <c r="I23" s="131"/>
      <c r="J23" s="131"/>
      <c r="K23" s="131"/>
      <c r="L23" s="132"/>
      <c r="M23" s="132"/>
      <c r="N23" s="133"/>
      <c r="O23" s="133"/>
      <c r="P23" s="133"/>
      <c r="Q23" s="133"/>
      <c r="R23" s="133"/>
      <c r="S23" s="133"/>
      <c r="T23" s="133"/>
      <c r="U23" s="133"/>
      <c r="V23" s="133"/>
      <c r="W23" s="133"/>
      <c r="X23" s="133"/>
      <c r="Y23" s="133"/>
      <c r="Z23" s="133"/>
      <c r="AA23" s="133"/>
      <c r="AB23" s="133"/>
      <c r="AC23" s="133"/>
      <c r="AD23" s="133"/>
      <c r="AE23" s="133"/>
      <c r="AF23" s="133"/>
      <c r="AG23" s="133"/>
      <c r="AH23" s="133"/>
      <c r="AI23" s="133"/>
      <c r="AK23" s="130"/>
      <c r="AL23" s="130"/>
      <c r="AM23" s="134" t="s">
        <v>43</v>
      </c>
      <c r="AN23" s="134"/>
      <c r="AO23" s="134"/>
      <c r="AP23" s="134"/>
      <c r="AQ23" s="134"/>
      <c r="AR23" s="134"/>
      <c r="AS23" s="134"/>
      <c r="AT23" s="134"/>
      <c r="AU23" s="135"/>
      <c r="AV23" s="135"/>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row>
    <row r="24" spans="2:70" ht="16.25" customHeight="1">
      <c r="B24" s="130"/>
      <c r="C24" s="130"/>
      <c r="D24" s="131"/>
      <c r="E24" s="131"/>
      <c r="F24" s="131"/>
      <c r="G24" s="131"/>
      <c r="H24" s="131"/>
      <c r="I24" s="131"/>
      <c r="J24" s="131"/>
      <c r="K24" s="131"/>
      <c r="L24" s="132"/>
      <c r="M24" s="132"/>
      <c r="N24" s="133"/>
      <c r="O24" s="133"/>
      <c r="P24" s="133"/>
      <c r="Q24" s="133"/>
      <c r="R24" s="133"/>
      <c r="S24" s="133"/>
      <c r="T24" s="133"/>
      <c r="U24" s="133"/>
      <c r="V24" s="133"/>
      <c r="W24" s="133"/>
      <c r="X24" s="133"/>
      <c r="Y24" s="133"/>
      <c r="Z24" s="133"/>
      <c r="AA24" s="133"/>
      <c r="AB24" s="133"/>
      <c r="AC24" s="133"/>
      <c r="AD24" s="133"/>
      <c r="AE24" s="133"/>
      <c r="AF24" s="133"/>
      <c r="AG24" s="133"/>
      <c r="AH24" s="133"/>
      <c r="AI24" s="133"/>
      <c r="AK24" s="130"/>
      <c r="AL24" s="130"/>
      <c r="AM24" s="134"/>
      <c r="AN24" s="134"/>
      <c r="AO24" s="134"/>
      <c r="AP24" s="134"/>
      <c r="AQ24" s="134"/>
      <c r="AR24" s="134"/>
      <c r="AS24" s="134"/>
      <c r="AT24" s="134"/>
      <c r="AU24" s="135"/>
      <c r="AV24" s="135"/>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row>
    <row r="25" spans="2:70" ht="16.25" customHeight="1">
      <c r="B25" s="130"/>
      <c r="C25" s="130"/>
      <c r="D25" s="131" t="s">
        <v>41</v>
      </c>
      <c r="E25" s="131"/>
      <c r="F25" s="131"/>
      <c r="G25" s="131"/>
      <c r="H25" s="131"/>
      <c r="I25" s="131"/>
      <c r="J25" s="131"/>
      <c r="K25" s="131"/>
      <c r="L25" s="132" t="s">
        <v>45</v>
      </c>
      <c r="M25" s="132"/>
      <c r="N25" s="133" t="s">
        <v>46</v>
      </c>
      <c r="O25" s="133"/>
      <c r="P25" s="133"/>
      <c r="Q25" s="133"/>
      <c r="R25" s="133"/>
      <c r="S25" s="133"/>
      <c r="T25" s="133"/>
      <c r="U25" s="133"/>
      <c r="V25" s="133"/>
      <c r="W25" s="133"/>
      <c r="X25" s="133"/>
      <c r="Y25" s="133"/>
      <c r="Z25" s="133"/>
      <c r="AA25" s="133"/>
      <c r="AB25" s="133"/>
      <c r="AC25" s="133"/>
      <c r="AD25" s="133"/>
      <c r="AE25" s="133"/>
      <c r="AF25" s="133"/>
      <c r="AG25" s="133"/>
      <c r="AH25" s="133"/>
      <c r="AI25" s="133"/>
      <c r="AK25" s="130"/>
      <c r="AL25" s="130"/>
      <c r="AM25" s="134" t="s">
        <v>40</v>
      </c>
      <c r="AN25" s="134"/>
      <c r="AO25" s="134"/>
      <c r="AP25" s="134"/>
      <c r="AQ25" s="134"/>
      <c r="AR25" s="134"/>
      <c r="AS25" s="134"/>
      <c r="AT25" s="134"/>
      <c r="AU25" s="135" t="s">
        <v>44</v>
      </c>
      <c r="AV25" s="135"/>
      <c r="AW25" s="133" t="s">
        <v>205</v>
      </c>
      <c r="AX25" s="133"/>
      <c r="AY25" s="133"/>
      <c r="AZ25" s="133"/>
      <c r="BA25" s="133"/>
      <c r="BB25" s="133"/>
      <c r="BC25" s="133"/>
      <c r="BD25" s="133"/>
      <c r="BE25" s="133"/>
      <c r="BF25" s="133"/>
      <c r="BG25" s="133"/>
      <c r="BH25" s="133"/>
      <c r="BI25" s="133"/>
      <c r="BJ25" s="133"/>
      <c r="BK25" s="133"/>
      <c r="BL25" s="133"/>
      <c r="BM25" s="133"/>
      <c r="BN25" s="133"/>
      <c r="BO25" s="133"/>
      <c r="BP25" s="133"/>
      <c r="BQ25" s="133"/>
      <c r="BR25" s="133"/>
    </row>
    <row r="26" spans="2:70" ht="16.25" customHeight="1">
      <c r="B26" s="130"/>
      <c r="C26" s="130"/>
      <c r="D26" s="131"/>
      <c r="E26" s="131"/>
      <c r="F26" s="131"/>
      <c r="G26" s="131"/>
      <c r="H26" s="131"/>
      <c r="I26" s="131"/>
      <c r="J26" s="131"/>
      <c r="K26" s="131"/>
      <c r="L26" s="132"/>
      <c r="M26" s="132"/>
      <c r="N26" s="133"/>
      <c r="O26" s="133"/>
      <c r="P26" s="133"/>
      <c r="Q26" s="133"/>
      <c r="R26" s="133"/>
      <c r="S26" s="133"/>
      <c r="T26" s="133"/>
      <c r="U26" s="133"/>
      <c r="V26" s="133"/>
      <c r="W26" s="133"/>
      <c r="X26" s="133"/>
      <c r="Y26" s="133"/>
      <c r="Z26" s="133"/>
      <c r="AA26" s="133"/>
      <c r="AB26" s="133"/>
      <c r="AC26" s="133"/>
      <c r="AD26" s="133"/>
      <c r="AE26" s="133"/>
      <c r="AF26" s="133"/>
      <c r="AG26" s="133"/>
      <c r="AH26" s="133"/>
      <c r="AI26" s="133"/>
      <c r="AK26" s="130"/>
      <c r="AL26" s="130"/>
      <c r="AM26" s="134"/>
      <c r="AN26" s="134"/>
      <c r="AO26" s="134"/>
      <c r="AP26" s="134"/>
      <c r="AQ26" s="134"/>
      <c r="AR26" s="134"/>
      <c r="AS26" s="134"/>
      <c r="AT26" s="134"/>
      <c r="AU26" s="135"/>
      <c r="AV26" s="135"/>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row>
    <row r="27" spans="2:70" ht="16.25" customHeight="1">
      <c r="B27" s="130"/>
      <c r="C27" s="130"/>
      <c r="D27" s="131" t="s">
        <v>43</v>
      </c>
      <c r="E27" s="131"/>
      <c r="F27" s="131"/>
      <c r="G27" s="131"/>
      <c r="H27" s="131"/>
      <c r="I27" s="131"/>
      <c r="J27" s="131"/>
      <c r="K27" s="131"/>
      <c r="L27" s="132"/>
      <c r="M27" s="132"/>
      <c r="N27" s="133"/>
      <c r="O27" s="133"/>
      <c r="P27" s="133"/>
      <c r="Q27" s="133"/>
      <c r="R27" s="133"/>
      <c r="S27" s="133"/>
      <c r="T27" s="133"/>
      <c r="U27" s="133"/>
      <c r="V27" s="133"/>
      <c r="W27" s="133"/>
      <c r="X27" s="133"/>
      <c r="Y27" s="133"/>
      <c r="Z27" s="133"/>
      <c r="AA27" s="133"/>
      <c r="AB27" s="133"/>
      <c r="AC27" s="133"/>
      <c r="AD27" s="133"/>
      <c r="AE27" s="133"/>
      <c r="AF27" s="133"/>
      <c r="AG27" s="133"/>
      <c r="AH27" s="133"/>
      <c r="AI27" s="133"/>
      <c r="AK27" s="130"/>
      <c r="AL27" s="130"/>
      <c r="AM27" s="134" t="s">
        <v>43</v>
      </c>
      <c r="AN27" s="134"/>
      <c r="AO27" s="134"/>
      <c r="AP27" s="134"/>
      <c r="AQ27" s="134"/>
      <c r="AR27" s="134"/>
      <c r="AS27" s="134"/>
      <c r="AT27" s="134"/>
      <c r="AU27" s="135"/>
      <c r="AV27" s="135"/>
      <c r="AW27" s="133"/>
      <c r="AX27" s="133"/>
      <c r="AY27" s="133"/>
      <c r="AZ27" s="133"/>
      <c r="BA27" s="133"/>
      <c r="BB27" s="133"/>
      <c r="BC27" s="133"/>
      <c r="BD27" s="133"/>
      <c r="BE27" s="133"/>
      <c r="BF27" s="133"/>
      <c r="BG27" s="133"/>
      <c r="BH27" s="133"/>
      <c r="BI27" s="133"/>
      <c r="BJ27" s="133"/>
      <c r="BK27" s="133"/>
      <c r="BL27" s="133"/>
      <c r="BM27" s="133"/>
      <c r="BN27" s="133"/>
      <c r="BO27" s="133"/>
      <c r="BP27" s="133"/>
      <c r="BQ27" s="133"/>
      <c r="BR27" s="133"/>
    </row>
    <row r="28" spans="2:70" ht="16.25" customHeight="1">
      <c r="B28" s="130"/>
      <c r="C28" s="130"/>
      <c r="D28" s="131"/>
      <c r="E28" s="131"/>
      <c r="F28" s="131"/>
      <c r="G28" s="131"/>
      <c r="H28" s="131"/>
      <c r="I28" s="131"/>
      <c r="J28" s="131"/>
      <c r="K28" s="131"/>
      <c r="L28" s="132"/>
      <c r="M28" s="132"/>
      <c r="N28" s="133"/>
      <c r="O28" s="133"/>
      <c r="P28" s="133"/>
      <c r="Q28" s="133"/>
      <c r="R28" s="133"/>
      <c r="S28" s="133"/>
      <c r="T28" s="133"/>
      <c r="U28" s="133"/>
      <c r="V28" s="133"/>
      <c r="W28" s="133"/>
      <c r="X28" s="133"/>
      <c r="Y28" s="133"/>
      <c r="Z28" s="133"/>
      <c r="AA28" s="133"/>
      <c r="AB28" s="133"/>
      <c r="AC28" s="133"/>
      <c r="AD28" s="133"/>
      <c r="AE28" s="133"/>
      <c r="AF28" s="133"/>
      <c r="AG28" s="133"/>
      <c r="AH28" s="133"/>
      <c r="AI28" s="133"/>
      <c r="AK28" s="130"/>
      <c r="AL28" s="130"/>
      <c r="AM28" s="134"/>
      <c r="AN28" s="134"/>
      <c r="AO28" s="134"/>
      <c r="AP28" s="134"/>
      <c r="AQ28" s="134"/>
      <c r="AR28" s="134"/>
      <c r="AS28" s="134"/>
      <c r="AT28" s="134"/>
      <c r="AU28" s="135"/>
      <c r="AV28" s="135"/>
      <c r="AW28" s="133"/>
      <c r="AX28" s="133"/>
      <c r="AY28" s="133"/>
      <c r="AZ28" s="133"/>
      <c r="BA28" s="133"/>
      <c r="BB28" s="133"/>
      <c r="BC28" s="133"/>
      <c r="BD28" s="133"/>
      <c r="BE28" s="133"/>
      <c r="BF28" s="133"/>
      <c r="BG28" s="133"/>
      <c r="BH28" s="133"/>
      <c r="BI28" s="133"/>
      <c r="BJ28" s="133"/>
      <c r="BK28" s="133"/>
      <c r="BL28" s="133"/>
      <c r="BM28" s="133"/>
      <c r="BN28" s="133"/>
      <c r="BO28" s="133"/>
      <c r="BP28" s="133"/>
      <c r="BQ28" s="133"/>
      <c r="BR28" s="133"/>
    </row>
    <row r="29" spans="2:70" ht="16.25" customHeight="1">
      <c r="B29" s="130"/>
      <c r="C29" s="130"/>
      <c r="D29" s="131" t="s">
        <v>49</v>
      </c>
      <c r="E29" s="131"/>
      <c r="F29" s="131"/>
      <c r="G29" s="131"/>
      <c r="H29" s="131"/>
      <c r="I29" s="131"/>
      <c r="J29" s="131"/>
      <c r="K29" s="131"/>
      <c r="L29" s="132" t="s">
        <v>50</v>
      </c>
      <c r="M29" s="132"/>
      <c r="N29" s="136" t="s">
        <v>90</v>
      </c>
      <c r="O29" s="136"/>
      <c r="P29" s="136"/>
      <c r="Q29" s="136"/>
      <c r="R29" s="136"/>
      <c r="S29" s="136"/>
      <c r="T29" s="136"/>
      <c r="U29" s="136"/>
      <c r="V29" s="136"/>
      <c r="W29" s="136"/>
      <c r="X29" s="136"/>
      <c r="Y29" s="136"/>
      <c r="Z29" s="136"/>
      <c r="AA29" s="136"/>
      <c r="AB29" s="136"/>
      <c r="AC29" s="136"/>
      <c r="AD29" s="136"/>
      <c r="AE29" s="136"/>
      <c r="AF29" s="136"/>
      <c r="AG29" s="136"/>
      <c r="AH29" s="136"/>
      <c r="AI29" s="136"/>
      <c r="AK29" s="130"/>
      <c r="AL29" s="130"/>
      <c r="AM29" s="134" t="s">
        <v>43</v>
      </c>
      <c r="AN29" s="134"/>
      <c r="AO29" s="134"/>
      <c r="AP29" s="134"/>
      <c r="AQ29" s="134"/>
      <c r="AR29" s="134"/>
      <c r="AS29" s="134"/>
      <c r="AT29" s="134"/>
      <c r="AU29" s="135" t="s">
        <v>47</v>
      </c>
      <c r="AV29" s="135"/>
      <c r="AW29" s="133" t="s">
        <v>48</v>
      </c>
      <c r="AX29" s="133"/>
      <c r="AY29" s="133"/>
      <c r="AZ29" s="133"/>
      <c r="BA29" s="133"/>
      <c r="BB29" s="133"/>
      <c r="BC29" s="133"/>
      <c r="BD29" s="133"/>
      <c r="BE29" s="133"/>
      <c r="BF29" s="133"/>
      <c r="BG29" s="133"/>
      <c r="BH29" s="133"/>
      <c r="BI29" s="133"/>
      <c r="BJ29" s="133"/>
      <c r="BK29" s="133"/>
      <c r="BL29" s="133"/>
      <c r="BM29" s="133"/>
      <c r="BN29" s="133"/>
      <c r="BO29" s="133"/>
      <c r="BP29" s="133"/>
      <c r="BQ29" s="133"/>
      <c r="BR29" s="133"/>
    </row>
    <row r="30" spans="2:70" ht="16.25" customHeight="1">
      <c r="B30" s="130"/>
      <c r="C30" s="130"/>
      <c r="D30" s="131"/>
      <c r="E30" s="131"/>
      <c r="F30" s="131"/>
      <c r="G30" s="131"/>
      <c r="H30" s="131"/>
      <c r="I30" s="131"/>
      <c r="J30" s="131"/>
      <c r="K30" s="131"/>
      <c r="L30" s="132"/>
      <c r="M30" s="132"/>
      <c r="N30" s="136"/>
      <c r="O30" s="136"/>
      <c r="P30" s="136"/>
      <c r="Q30" s="136"/>
      <c r="R30" s="136"/>
      <c r="S30" s="136"/>
      <c r="T30" s="136"/>
      <c r="U30" s="136"/>
      <c r="V30" s="136"/>
      <c r="W30" s="136"/>
      <c r="X30" s="136"/>
      <c r="Y30" s="136"/>
      <c r="Z30" s="136"/>
      <c r="AA30" s="136"/>
      <c r="AB30" s="136"/>
      <c r="AC30" s="136"/>
      <c r="AD30" s="136"/>
      <c r="AE30" s="136"/>
      <c r="AF30" s="136"/>
      <c r="AG30" s="136"/>
      <c r="AH30" s="136"/>
      <c r="AI30" s="136"/>
      <c r="AK30" s="130"/>
      <c r="AL30" s="130"/>
      <c r="AM30" s="134"/>
      <c r="AN30" s="134"/>
      <c r="AO30" s="134"/>
      <c r="AP30" s="134"/>
      <c r="AQ30" s="134"/>
      <c r="AR30" s="134"/>
      <c r="AS30" s="134"/>
      <c r="AT30" s="134"/>
      <c r="AU30" s="135"/>
      <c r="AV30" s="135"/>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row>
    <row r="31" spans="2:70" ht="16.25" customHeight="1" thickBot="1">
      <c r="B31" s="64"/>
      <c r="C31" s="64"/>
      <c r="AK31" s="130"/>
      <c r="AL31" s="130"/>
      <c r="AM31" s="134" t="s">
        <v>49</v>
      </c>
      <c r="AN31" s="134"/>
      <c r="AO31" s="134"/>
      <c r="AP31" s="134"/>
      <c r="AQ31" s="134"/>
      <c r="AR31" s="134"/>
      <c r="AS31" s="134"/>
      <c r="AT31" s="134"/>
      <c r="AU31" s="135" t="s">
        <v>51</v>
      </c>
      <c r="AV31" s="135"/>
      <c r="AW31" s="136" t="s">
        <v>89</v>
      </c>
      <c r="AX31" s="136"/>
      <c r="AY31" s="136"/>
      <c r="AZ31" s="136"/>
      <c r="BA31" s="136"/>
      <c r="BB31" s="136"/>
      <c r="BC31" s="136"/>
      <c r="BD31" s="136"/>
      <c r="BE31" s="136"/>
      <c r="BF31" s="136"/>
      <c r="BG31" s="136"/>
      <c r="BH31" s="136"/>
      <c r="BI31" s="136"/>
      <c r="BJ31" s="136"/>
      <c r="BK31" s="136"/>
      <c r="BL31" s="136"/>
      <c r="BM31" s="136"/>
      <c r="BN31" s="136"/>
      <c r="BO31" s="136"/>
      <c r="BP31" s="136"/>
      <c r="BQ31" s="136"/>
      <c r="BR31" s="136"/>
    </row>
    <row r="32" spans="2:70" ht="16.25" customHeight="1">
      <c r="B32" s="137" t="s">
        <v>52</v>
      </c>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9"/>
      <c r="AK32" s="130"/>
      <c r="AL32" s="130"/>
      <c r="AM32" s="134"/>
      <c r="AN32" s="134"/>
      <c r="AO32" s="134"/>
      <c r="AP32" s="134"/>
      <c r="AQ32" s="134"/>
      <c r="AR32" s="134"/>
      <c r="AS32" s="134"/>
      <c r="AT32" s="134"/>
      <c r="AU32" s="135"/>
      <c r="AV32" s="135"/>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row>
    <row r="33" spans="2:70" ht="20" customHeight="1">
      <c r="B33" s="140"/>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2"/>
      <c r="AK33" s="64"/>
      <c r="AL33" s="64"/>
    </row>
    <row r="34" spans="2:70" ht="78" customHeight="1">
      <c r="B34" s="140"/>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2"/>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row>
    <row r="35" spans="2:70" ht="16.25" customHeight="1">
      <c r="B35" s="140"/>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2"/>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row>
    <row r="36" spans="2:70" ht="16.5" customHeight="1">
      <c r="B36" s="140"/>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2"/>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row>
    <row r="37" spans="2:70" ht="16.5" customHeight="1">
      <c r="B37" s="140"/>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2"/>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c r="BM37" s="64"/>
      <c r="BN37" s="64"/>
      <c r="BO37" s="64"/>
      <c r="BP37" s="64"/>
      <c r="BQ37" s="64"/>
      <c r="BR37" s="64"/>
    </row>
    <row r="38" spans="2:70" ht="16.5" customHeight="1" thickBot="1">
      <c r="B38" s="143"/>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c r="AI38" s="145"/>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row>
    <row r="39" spans="2:70" ht="16.5" customHeight="1">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row>
    <row r="40" spans="2:70" ht="16.5" customHeight="1">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row>
    <row r="41" spans="2:70" ht="16.5" customHeight="1">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row>
    <row r="42" spans="2:70" ht="16.5" customHeight="1">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row>
    <row r="43" spans="2:70" ht="16.5" customHeight="1"/>
    <row r="44" spans="2:70" ht="16.5" customHeight="1"/>
    <row r="45" spans="2:70" ht="16.5" customHeight="1"/>
    <row r="46" spans="2:70" ht="17" customHeight="1"/>
  </sheetData>
  <mergeCells count="62">
    <mergeCell ref="AU31:AV32"/>
    <mergeCell ref="AW31:BR32"/>
    <mergeCell ref="B32:AI38"/>
    <mergeCell ref="AU25:AV28"/>
    <mergeCell ref="AW25:BR28"/>
    <mergeCell ref="D27:K28"/>
    <mergeCell ref="AM27:AT28"/>
    <mergeCell ref="D29:K30"/>
    <mergeCell ref="L29:M30"/>
    <mergeCell ref="N29:AI30"/>
    <mergeCell ref="AM29:AT30"/>
    <mergeCell ref="AU29:AV30"/>
    <mergeCell ref="AW29:BR30"/>
    <mergeCell ref="D25:K26"/>
    <mergeCell ref="L25:M28"/>
    <mergeCell ref="N25:AI28"/>
    <mergeCell ref="AU15:AV18"/>
    <mergeCell ref="AW15:BR18"/>
    <mergeCell ref="D17:K18"/>
    <mergeCell ref="L17:M24"/>
    <mergeCell ref="N17:AI24"/>
    <mergeCell ref="AM17:AT18"/>
    <mergeCell ref="D19:K20"/>
    <mergeCell ref="AM19:AT20"/>
    <mergeCell ref="AU19:AV24"/>
    <mergeCell ref="AW19:BR24"/>
    <mergeCell ref="D21:K22"/>
    <mergeCell ref="AM21:AT22"/>
    <mergeCell ref="D23:K24"/>
    <mergeCell ref="AM23:AT24"/>
    <mergeCell ref="AW7:BR10"/>
    <mergeCell ref="D9:K10"/>
    <mergeCell ref="AM9:AT10"/>
    <mergeCell ref="AW11:BR14"/>
    <mergeCell ref="D13:K14"/>
    <mergeCell ref="AM13:AT14"/>
    <mergeCell ref="AU11:AV14"/>
    <mergeCell ref="AK5:AL32"/>
    <mergeCell ref="D15:K16"/>
    <mergeCell ref="AM15:AT16"/>
    <mergeCell ref="D11:K12"/>
    <mergeCell ref="L11:M16"/>
    <mergeCell ref="N11:AI16"/>
    <mergeCell ref="AM11:AT12"/>
    <mergeCell ref="AM25:AT26"/>
    <mergeCell ref="AM31:AT32"/>
    <mergeCell ref="B2:M4"/>
    <mergeCell ref="N2:AI4"/>
    <mergeCell ref="AK2:AV4"/>
    <mergeCell ref="AW2:BR4"/>
    <mergeCell ref="B5:C30"/>
    <mergeCell ref="D5:K6"/>
    <mergeCell ref="L5:M6"/>
    <mergeCell ref="N5:AI6"/>
    <mergeCell ref="AM5:AT6"/>
    <mergeCell ref="AU5:AV6"/>
    <mergeCell ref="AW5:BR6"/>
    <mergeCell ref="D7:K8"/>
    <mergeCell ref="L7:M10"/>
    <mergeCell ref="N7:AI10"/>
    <mergeCell ref="AM7:AT8"/>
    <mergeCell ref="AU7:AV10"/>
  </mergeCells>
  <phoneticPr fontId="22"/>
  <printOptions horizontalCentered="1" verticalCentered="1"/>
  <pageMargins left="0.23622047244094499" right="0.23622047244094499" top="0.74803149606299202" bottom="0.74803149606299202" header="0.31496062992126" footer="0.31496062992126"/>
  <pageSetup paperSize="8" scale="7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B9EFB-B2BA-4794-983C-157507A4A373}">
  <dimension ref="B2:F16"/>
  <sheetViews>
    <sheetView view="pageBreakPreview" topLeftCell="A7" zoomScale="128" zoomScaleNormal="120" workbookViewId="0">
      <selection activeCell="F11" sqref="F11"/>
    </sheetView>
  </sheetViews>
  <sheetFormatPr defaultRowHeight="18"/>
  <cols>
    <col min="1" max="1" width="8.6640625" style="66"/>
    <col min="2" max="2" width="7.33203125" style="66" customWidth="1"/>
    <col min="3" max="3" width="7" style="66" customWidth="1"/>
    <col min="4" max="4" width="7.33203125" style="66" customWidth="1"/>
    <col min="5" max="5" width="13" style="66" bestFit="1" customWidth="1"/>
    <col min="6" max="6" width="13.9140625" style="66" customWidth="1"/>
    <col min="7" max="16384" width="8.6640625" style="66"/>
  </cols>
  <sheetData>
    <row r="2" spans="2:6">
      <c r="B2" s="146" t="s">
        <v>91</v>
      </c>
      <c r="C2" s="147"/>
      <c r="D2" s="148"/>
      <c r="E2" s="65" t="s">
        <v>92</v>
      </c>
      <c r="F2" s="65" t="s">
        <v>103</v>
      </c>
    </row>
    <row r="3" spans="2:6" hidden="1">
      <c r="B3" s="67">
        <v>130</v>
      </c>
      <c r="C3" s="68" t="s">
        <v>93</v>
      </c>
      <c r="D3" s="69"/>
      <c r="E3" s="70" t="s">
        <v>94</v>
      </c>
      <c r="F3" s="70" t="s">
        <v>94</v>
      </c>
    </row>
    <row r="4" spans="2:6" hidden="1">
      <c r="B4" s="67">
        <v>120</v>
      </c>
      <c r="C4" s="68" t="s">
        <v>93</v>
      </c>
      <c r="D4" s="69">
        <v>129</v>
      </c>
      <c r="E4" s="70" t="s">
        <v>95</v>
      </c>
      <c r="F4" s="70" t="s">
        <v>95</v>
      </c>
    </row>
    <row r="5" spans="2:6" hidden="1">
      <c r="B5" s="67">
        <v>110</v>
      </c>
      <c r="C5" s="68" t="s">
        <v>93</v>
      </c>
      <c r="D5" s="69">
        <v>119</v>
      </c>
      <c r="E5" s="70" t="s">
        <v>96</v>
      </c>
      <c r="F5" s="70" t="s">
        <v>96</v>
      </c>
    </row>
    <row r="6" spans="2:6">
      <c r="B6" s="67">
        <v>100</v>
      </c>
      <c r="C6" s="68" t="s">
        <v>93</v>
      </c>
      <c r="D6" s="69">
        <v>109</v>
      </c>
      <c r="E6" s="70" t="s">
        <v>97</v>
      </c>
      <c r="F6" s="70" t="s">
        <v>97</v>
      </c>
    </row>
    <row r="7" spans="2:6">
      <c r="B7" s="71">
        <v>90</v>
      </c>
      <c r="C7" s="72" t="s">
        <v>98</v>
      </c>
      <c r="D7" s="71">
        <f t="shared" ref="D7:D14" si="0">D8+10</f>
        <v>99</v>
      </c>
      <c r="E7" s="73" t="s">
        <v>99</v>
      </c>
      <c r="F7" s="73" t="s">
        <v>99</v>
      </c>
    </row>
    <row r="8" spans="2:6">
      <c r="B8" s="71">
        <v>80</v>
      </c>
      <c r="C8" s="72" t="s">
        <v>93</v>
      </c>
      <c r="D8" s="71">
        <f t="shared" si="0"/>
        <v>89</v>
      </c>
      <c r="E8" s="73" t="s">
        <v>100</v>
      </c>
      <c r="F8" s="73" t="s">
        <v>100</v>
      </c>
    </row>
    <row r="9" spans="2:6">
      <c r="B9" s="71">
        <v>70</v>
      </c>
      <c r="C9" s="72" t="s">
        <v>93</v>
      </c>
      <c r="D9" s="71">
        <f t="shared" si="0"/>
        <v>79</v>
      </c>
      <c r="E9" s="73" t="s">
        <v>101</v>
      </c>
      <c r="F9" s="73" t="s">
        <v>101</v>
      </c>
    </row>
    <row r="10" spans="2:6">
      <c r="B10" s="71">
        <v>60</v>
      </c>
      <c r="C10" s="72" t="s">
        <v>93</v>
      </c>
      <c r="D10" s="71">
        <f t="shared" si="0"/>
        <v>69</v>
      </c>
      <c r="E10" s="73" t="s">
        <v>102</v>
      </c>
      <c r="F10" s="73" t="s">
        <v>102</v>
      </c>
    </row>
    <row r="11" spans="2:6">
      <c r="B11" s="71">
        <v>50</v>
      </c>
      <c r="C11" s="72" t="s">
        <v>93</v>
      </c>
      <c r="D11" s="71">
        <f t="shared" si="0"/>
        <v>59</v>
      </c>
      <c r="E11" s="74">
        <v>-1</v>
      </c>
      <c r="F11" s="74">
        <v>-1</v>
      </c>
    </row>
    <row r="12" spans="2:6">
      <c r="B12" s="71">
        <v>40</v>
      </c>
      <c r="C12" s="72" t="s">
        <v>93</v>
      </c>
      <c r="D12" s="71">
        <f t="shared" si="0"/>
        <v>49</v>
      </c>
      <c r="E12" s="74">
        <v>-2</v>
      </c>
      <c r="F12" s="74">
        <v>-2</v>
      </c>
    </row>
    <row r="13" spans="2:6">
      <c r="B13" s="71">
        <v>30</v>
      </c>
      <c r="C13" s="72" t="s">
        <v>93</v>
      </c>
      <c r="D13" s="71">
        <f t="shared" si="0"/>
        <v>39</v>
      </c>
      <c r="E13" s="74">
        <v>-3</v>
      </c>
      <c r="F13" s="74">
        <v>-3</v>
      </c>
    </row>
    <row r="14" spans="2:6">
      <c r="B14" s="71">
        <v>20</v>
      </c>
      <c r="C14" s="72" t="s">
        <v>93</v>
      </c>
      <c r="D14" s="71">
        <f t="shared" si="0"/>
        <v>29</v>
      </c>
      <c r="E14" s="74">
        <v>-4</v>
      </c>
      <c r="F14" s="74">
        <v>-4</v>
      </c>
    </row>
    <row r="15" spans="2:6">
      <c r="B15" s="71">
        <v>10</v>
      </c>
      <c r="C15" s="72" t="s">
        <v>93</v>
      </c>
      <c r="D15" s="71">
        <f>D16+10</f>
        <v>19</v>
      </c>
      <c r="E15" s="74">
        <v>-5</v>
      </c>
      <c r="F15" s="74">
        <v>-5</v>
      </c>
    </row>
    <row r="16" spans="2:6">
      <c r="B16" s="75">
        <v>0</v>
      </c>
      <c r="C16" s="76" t="s">
        <v>93</v>
      </c>
      <c r="D16" s="75">
        <v>9</v>
      </c>
      <c r="E16" s="77">
        <v>-6</v>
      </c>
      <c r="F16" s="77">
        <v>-6</v>
      </c>
    </row>
  </sheetData>
  <mergeCells count="1">
    <mergeCell ref="B2:D2"/>
  </mergeCells>
  <phoneticPr fontId="2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K35"/>
  <sheetViews>
    <sheetView view="pageBreakPreview" topLeftCell="E7" zoomScale="70" zoomScaleNormal="80" zoomScaleSheetLayoutView="70" workbookViewId="0">
      <selection activeCell="K26" sqref="K26"/>
    </sheetView>
  </sheetViews>
  <sheetFormatPr defaultColWidth="8.83203125" defaultRowHeight="18"/>
  <cols>
    <col min="7" max="7" width="8" customWidth="1"/>
    <col min="8" max="8" width="14" customWidth="1"/>
    <col min="9" max="11" width="10.83203125" customWidth="1"/>
    <col min="12" max="12" width="14.1640625" customWidth="1"/>
    <col min="13" max="13" width="11.1640625" style="43" customWidth="1"/>
    <col min="14" max="14" width="8.83203125" customWidth="1"/>
    <col min="15" max="15" width="9.83203125" customWidth="1"/>
    <col min="16" max="16" width="11" style="1" customWidth="1"/>
    <col min="17" max="17" width="14.1640625" customWidth="1"/>
    <col min="18" max="18" width="11.83203125" customWidth="1"/>
    <col min="19" max="19" width="12.33203125" customWidth="1"/>
    <col min="20" max="20" width="11.5" customWidth="1"/>
    <col min="21" max="21" width="12" style="1" customWidth="1"/>
    <col min="22" max="22" width="14.1640625" customWidth="1"/>
    <col min="23" max="23" width="13.1640625" customWidth="1"/>
    <col min="24" max="24" width="8.83203125" customWidth="1"/>
    <col min="25" max="25" width="12.6640625" customWidth="1"/>
    <col min="26" max="26" width="12.6640625" style="1" customWidth="1"/>
    <col min="27" max="27" width="14.1640625" customWidth="1"/>
    <col min="28" max="30" width="12.5" customWidth="1"/>
    <col min="31" max="31" width="12.5" style="1" customWidth="1"/>
    <col min="32" max="32" width="14.1640625" customWidth="1"/>
    <col min="33" max="35" width="12.5" customWidth="1"/>
    <col min="36" max="36" width="12.5" style="1" customWidth="1"/>
    <col min="37" max="37" width="14.1640625" customWidth="1"/>
  </cols>
  <sheetData>
    <row r="1" spans="2:37" ht="56" customHeight="1">
      <c r="B1" s="12" t="s">
        <v>22</v>
      </c>
    </row>
    <row r="2" spans="2:37" ht="20">
      <c r="B2" s="153"/>
      <c r="C2" s="153"/>
      <c r="D2" s="153"/>
      <c r="E2" s="153"/>
      <c r="F2" s="153"/>
      <c r="G2" s="44"/>
      <c r="H2" s="154" t="s">
        <v>53</v>
      </c>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row>
    <row r="3" spans="2:37" ht="20">
      <c r="B3" s="153"/>
      <c r="C3" s="153"/>
      <c r="D3" s="153"/>
      <c r="E3" s="153"/>
      <c r="F3" s="153"/>
      <c r="G3" s="44"/>
      <c r="H3" s="156" t="s">
        <v>50</v>
      </c>
      <c r="I3" s="157"/>
      <c r="J3" s="157"/>
      <c r="K3" s="158"/>
      <c r="L3" s="54"/>
      <c r="M3" s="156" t="s">
        <v>45</v>
      </c>
      <c r="N3" s="157"/>
      <c r="O3" s="157"/>
      <c r="P3" s="157"/>
      <c r="Q3" s="158"/>
      <c r="R3" s="156" t="s">
        <v>42</v>
      </c>
      <c r="S3" s="157"/>
      <c r="T3" s="157"/>
      <c r="U3" s="157"/>
      <c r="V3" s="158"/>
      <c r="W3" s="156" t="s">
        <v>35</v>
      </c>
      <c r="X3" s="157"/>
      <c r="Y3" s="157"/>
      <c r="Z3" s="157"/>
      <c r="AA3" s="158"/>
      <c r="AB3" s="156" t="s">
        <v>30</v>
      </c>
      <c r="AC3" s="157"/>
      <c r="AD3" s="157"/>
      <c r="AE3" s="157"/>
      <c r="AF3" s="158"/>
      <c r="AG3" s="156" t="s">
        <v>24</v>
      </c>
      <c r="AH3" s="157"/>
      <c r="AI3" s="157"/>
      <c r="AJ3" s="157"/>
      <c r="AK3" s="158"/>
    </row>
    <row r="4" spans="2:37" ht="20">
      <c r="B4" s="162" t="s">
        <v>20</v>
      </c>
      <c r="C4" s="162"/>
      <c r="D4" s="162"/>
      <c r="E4" s="162"/>
      <c r="F4" s="162"/>
      <c r="G4" s="45"/>
      <c r="H4" s="17" t="s">
        <v>54</v>
      </c>
      <c r="I4" s="17" t="s">
        <v>55</v>
      </c>
      <c r="J4" s="17" t="s">
        <v>56</v>
      </c>
      <c r="K4" s="17" t="s">
        <v>57</v>
      </c>
      <c r="L4" s="33" t="s">
        <v>58</v>
      </c>
      <c r="M4" s="55" t="s">
        <v>59</v>
      </c>
      <c r="N4" s="33" t="s">
        <v>55</v>
      </c>
      <c r="O4" s="33" t="s">
        <v>56</v>
      </c>
      <c r="P4" s="34" t="s">
        <v>57</v>
      </c>
      <c r="Q4" s="33" t="s">
        <v>58</v>
      </c>
      <c r="R4" s="33" t="s">
        <v>60</v>
      </c>
      <c r="S4" s="33" t="s">
        <v>55</v>
      </c>
      <c r="T4" s="33" t="s">
        <v>56</v>
      </c>
      <c r="U4" s="34" t="s">
        <v>57</v>
      </c>
      <c r="V4" s="33" t="s">
        <v>58</v>
      </c>
      <c r="W4" s="33" t="s">
        <v>61</v>
      </c>
      <c r="X4" s="33" t="s">
        <v>55</v>
      </c>
      <c r="Y4" s="33" t="s">
        <v>56</v>
      </c>
      <c r="Z4" s="34" t="s">
        <v>57</v>
      </c>
      <c r="AA4" s="33" t="s">
        <v>58</v>
      </c>
      <c r="AB4" s="33" t="s">
        <v>62</v>
      </c>
      <c r="AC4" s="33" t="s">
        <v>55</v>
      </c>
      <c r="AD4" s="33" t="s">
        <v>56</v>
      </c>
      <c r="AE4" s="34" t="s">
        <v>57</v>
      </c>
      <c r="AF4" s="33" t="s">
        <v>58</v>
      </c>
      <c r="AG4" s="33" t="s">
        <v>63</v>
      </c>
      <c r="AH4" s="33" t="s">
        <v>55</v>
      </c>
      <c r="AI4" s="33" t="s">
        <v>56</v>
      </c>
      <c r="AJ4" s="34" t="s">
        <v>57</v>
      </c>
      <c r="AK4" s="33" t="s">
        <v>58</v>
      </c>
    </row>
    <row r="5" spans="2:37" ht="20">
      <c r="B5" s="163" t="s">
        <v>64</v>
      </c>
      <c r="C5" s="163"/>
      <c r="D5" s="163"/>
      <c r="E5" s="163"/>
      <c r="F5" s="163"/>
      <c r="G5" s="46"/>
      <c r="H5" s="47">
        <v>5000</v>
      </c>
      <c r="I5" s="151"/>
      <c r="J5" s="57">
        <v>5</v>
      </c>
      <c r="K5" s="56"/>
      <c r="L5" s="159">
        <v>13</v>
      </c>
      <c r="M5" s="47">
        <v>5000</v>
      </c>
      <c r="N5" s="161"/>
      <c r="O5" s="35">
        <v>25</v>
      </c>
      <c r="P5" s="175"/>
      <c r="Q5" s="159">
        <v>13</v>
      </c>
      <c r="R5" s="19">
        <v>5000</v>
      </c>
      <c r="S5" s="161"/>
      <c r="T5" s="35">
        <v>25</v>
      </c>
      <c r="U5" s="175"/>
      <c r="V5" s="159">
        <v>13</v>
      </c>
      <c r="W5" s="19">
        <v>7000</v>
      </c>
      <c r="X5" s="161"/>
      <c r="Y5" s="35">
        <v>25</v>
      </c>
      <c r="Z5" s="175"/>
      <c r="AA5" s="159">
        <v>13</v>
      </c>
      <c r="AB5" s="19">
        <v>15000</v>
      </c>
      <c r="AC5" s="161"/>
      <c r="AD5" s="35">
        <v>25</v>
      </c>
      <c r="AE5" s="175"/>
      <c r="AF5" s="159">
        <v>13</v>
      </c>
      <c r="AG5" s="19">
        <v>15000</v>
      </c>
      <c r="AH5" s="161"/>
      <c r="AI5" s="35">
        <v>25</v>
      </c>
      <c r="AJ5" s="175"/>
      <c r="AK5" s="159">
        <v>13</v>
      </c>
    </row>
    <row r="6" spans="2:37" ht="20">
      <c r="B6" s="164" t="s">
        <v>65</v>
      </c>
      <c r="C6" s="164"/>
      <c r="D6" s="164"/>
      <c r="E6" s="164"/>
      <c r="F6" s="164"/>
      <c r="G6" s="48"/>
      <c r="H6" s="49">
        <v>0</v>
      </c>
      <c r="I6" s="152"/>
      <c r="J6" s="59"/>
      <c r="K6" s="58"/>
      <c r="L6" s="160"/>
      <c r="M6" s="49">
        <v>0</v>
      </c>
      <c r="N6" s="161"/>
      <c r="O6" s="35"/>
      <c r="P6" s="175"/>
      <c r="Q6" s="160"/>
      <c r="R6" s="21">
        <v>5000</v>
      </c>
      <c r="S6" s="161"/>
      <c r="T6" s="35"/>
      <c r="U6" s="175"/>
      <c r="V6" s="160"/>
      <c r="W6" s="21">
        <v>7000</v>
      </c>
      <c r="X6" s="161"/>
      <c r="Y6" s="35"/>
      <c r="Z6" s="175"/>
      <c r="AA6" s="160"/>
      <c r="AB6" s="21">
        <v>15000</v>
      </c>
      <c r="AC6" s="161"/>
      <c r="AD6" s="35"/>
      <c r="AE6" s="175"/>
      <c r="AF6" s="160"/>
      <c r="AG6" s="21">
        <v>15000</v>
      </c>
      <c r="AH6" s="161"/>
      <c r="AI6" s="35"/>
      <c r="AJ6" s="175"/>
      <c r="AK6" s="160"/>
    </row>
    <row r="7" spans="2:37" ht="19" customHeight="1">
      <c r="B7" s="166" t="s">
        <v>66</v>
      </c>
      <c r="C7" s="167"/>
      <c r="D7" s="167"/>
      <c r="E7" s="167"/>
      <c r="F7" s="168"/>
      <c r="G7" s="45">
        <v>19</v>
      </c>
      <c r="H7" s="50">
        <f t="shared" ref="H7:H15" si="0">H8+H$5</f>
        <v>310000</v>
      </c>
      <c r="I7" s="23">
        <f t="shared" ref="I7:I9" si="1">H7/173.3</f>
        <v>1788.805539526832</v>
      </c>
      <c r="J7" s="23">
        <f t="shared" ref="J7:J26" si="2">I7*1.25*J$5</f>
        <v>11180.034622042698</v>
      </c>
      <c r="K7" s="37">
        <f t="shared" ref="K7:K26" si="3">H7+J7</f>
        <v>321180.03462204267</v>
      </c>
      <c r="L7" s="38">
        <f t="shared" ref="L7:L35" si="4">K7*L$5</f>
        <v>4175340.4500865545</v>
      </c>
      <c r="M7" s="50">
        <f t="shared" ref="M7:M25" si="5">M8+M$5</f>
        <v>310000</v>
      </c>
      <c r="N7" s="23">
        <f t="shared" ref="N7:N24" si="6">M7/173.33</f>
        <v>1788.4959326140886</v>
      </c>
      <c r="O7" s="23">
        <f t="shared" ref="O7:O15" si="7">N7*1.25*O$5</f>
        <v>55890.497894190266</v>
      </c>
      <c r="P7" s="37">
        <f t="shared" ref="P7:P15" si="8">M7+O7</f>
        <v>365890.49789419025</v>
      </c>
      <c r="Q7" s="38">
        <f t="shared" ref="Q7:Q15" si="9">P7*Q$5</f>
        <v>4756576.4726244733</v>
      </c>
      <c r="R7" s="23">
        <f t="shared" ref="R7:R15" si="10">R8+R$5</f>
        <v>335000</v>
      </c>
      <c r="S7" s="23">
        <f t="shared" ref="S7:S24" si="11">R7/173.33</f>
        <v>1932.7294755668377</v>
      </c>
      <c r="T7" s="23">
        <f t="shared" ref="T7" si="12">S7*1.25*T$5</f>
        <v>60397.796111463671</v>
      </c>
      <c r="U7" s="37">
        <f t="shared" ref="U7" si="13">R7+T7</f>
        <v>395397.79611146369</v>
      </c>
      <c r="V7" s="38">
        <f t="shared" ref="V7" si="14">U7*V$5</f>
        <v>5140171.3494490283</v>
      </c>
      <c r="W7" s="23">
        <f t="shared" ref="W7:W12" si="15">W8+W$5</f>
        <v>423000</v>
      </c>
      <c r="X7" s="23">
        <f t="shared" ref="X7:X24" si="16">W7/173.33</f>
        <v>2440.4315467605143</v>
      </c>
      <c r="Y7" s="23">
        <f t="shared" ref="Y7:Y12" si="17">X7*1.25*Y$5</f>
        <v>76263.485836266074</v>
      </c>
      <c r="Z7" s="37">
        <f t="shared" ref="Z7:Z12" si="18">W7+Y7</f>
        <v>499263.48583626607</v>
      </c>
      <c r="AA7" s="38">
        <f t="shared" ref="AA7:AA12" si="19">Z7*AA$5</f>
        <v>6490425.3158714585</v>
      </c>
      <c r="AB7" s="23">
        <f t="shared" ref="AB7:AB15" si="20">AB8+AB$5</f>
        <v>645000</v>
      </c>
      <c r="AC7" s="23">
        <f t="shared" ref="AC7:AC11" si="21">AB7/173.33</f>
        <v>3721.2254081809265</v>
      </c>
      <c r="AD7" s="23">
        <f t="shared" ref="AD7:AD15" si="22">AC7*1.25*AD$5</f>
        <v>116288.29400565397</v>
      </c>
      <c r="AE7" s="37">
        <f t="shared" ref="AE7:AE15" si="23">AB7+AD7</f>
        <v>761288.29400565394</v>
      </c>
      <c r="AF7" s="38">
        <f t="shared" ref="AF7:AF15" si="24">AE7*AF$5</f>
        <v>9896747.8220735006</v>
      </c>
      <c r="AG7" s="23">
        <f t="shared" ref="AG7:AG12" si="25">AG8+AG$5</f>
        <v>795000</v>
      </c>
      <c r="AH7" s="23">
        <f t="shared" ref="AH7:AH24" si="26">AG7/173.33</f>
        <v>4586.6266658974209</v>
      </c>
      <c r="AI7" s="23">
        <f t="shared" ref="AI7:AI12" si="27">AH7*1.25*AI$5</f>
        <v>143332.08330929439</v>
      </c>
      <c r="AJ7" s="37">
        <f t="shared" ref="AJ7:AJ12" si="28">AG7+AI7</f>
        <v>938332.08330929442</v>
      </c>
      <c r="AK7" s="38">
        <f t="shared" ref="AK7:AK12" si="29">AJ7*AK$5</f>
        <v>12198317.083020827</v>
      </c>
    </row>
    <row r="8" spans="2:37" ht="19" customHeight="1">
      <c r="B8" s="169"/>
      <c r="C8" s="170"/>
      <c r="D8" s="170"/>
      <c r="E8" s="170"/>
      <c r="F8" s="171"/>
      <c r="G8" s="45">
        <v>18</v>
      </c>
      <c r="H8" s="50">
        <f t="shared" si="0"/>
        <v>305000</v>
      </c>
      <c r="I8" s="23">
        <f t="shared" si="1"/>
        <v>1759.9538372763991</v>
      </c>
      <c r="J8" s="23">
        <f t="shared" si="2"/>
        <v>10999.711482977495</v>
      </c>
      <c r="K8" s="37">
        <f t="shared" si="3"/>
        <v>315999.71148297749</v>
      </c>
      <c r="L8" s="38">
        <f t="shared" si="4"/>
        <v>4107996.2492787074</v>
      </c>
      <c r="M8" s="50">
        <f t="shared" si="5"/>
        <v>305000</v>
      </c>
      <c r="N8" s="23">
        <f t="shared" si="6"/>
        <v>1759.6492240235389</v>
      </c>
      <c r="O8" s="23">
        <f t="shared" si="7"/>
        <v>54989.03825073559</v>
      </c>
      <c r="P8" s="37">
        <f t="shared" si="8"/>
        <v>359989.03825073561</v>
      </c>
      <c r="Q8" s="38">
        <f t="shared" si="9"/>
        <v>4679857.4972595628</v>
      </c>
      <c r="R8" s="23">
        <f t="shared" si="10"/>
        <v>330000</v>
      </c>
      <c r="S8" s="23">
        <f t="shared" si="11"/>
        <v>1903.8827669762879</v>
      </c>
      <c r="T8" s="23">
        <f t="shared" ref="T8:T15" si="30">S8*1.25*T$5</f>
        <v>59496.336468008994</v>
      </c>
      <c r="U8" s="37">
        <f t="shared" ref="U8:U15" si="31">R8+T8</f>
        <v>389496.33646800899</v>
      </c>
      <c r="V8" s="38">
        <f t="shared" ref="V8:V15" si="32">U8*V$5</f>
        <v>5063452.3740841169</v>
      </c>
      <c r="W8" s="23">
        <f t="shared" si="15"/>
        <v>416000</v>
      </c>
      <c r="X8" s="23">
        <f t="shared" si="16"/>
        <v>2400.0461547337445</v>
      </c>
      <c r="Y8" s="23">
        <f t="shared" si="17"/>
        <v>75001.442335429514</v>
      </c>
      <c r="Z8" s="37">
        <f t="shared" si="18"/>
        <v>491001.44233542948</v>
      </c>
      <c r="AA8" s="38">
        <f t="shared" si="19"/>
        <v>6383018.750360583</v>
      </c>
      <c r="AB8" s="23">
        <f t="shared" si="20"/>
        <v>630000</v>
      </c>
      <c r="AC8" s="23">
        <f t="shared" si="21"/>
        <v>3634.6852824092766</v>
      </c>
      <c r="AD8" s="23">
        <f t="shared" si="22"/>
        <v>113583.9150752899</v>
      </c>
      <c r="AE8" s="37">
        <f t="shared" si="23"/>
        <v>743583.9150752899</v>
      </c>
      <c r="AF8" s="38">
        <f t="shared" si="24"/>
        <v>9666590.8959787693</v>
      </c>
      <c r="AG8" s="23">
        <f t="shared" ref="AG8:AG10" si="33">AG9+AG$5</f>
        <v>780000</v>
      </c>
      <c r="AH8" s="23">
        <f t="shared" si="26"/>
        <v>4500.0865401257715</v>
      </c>
      <c r="AI8" s="23">
        <f t="shared" ref="AI8:AI10" si="34">AH8*1.25*AI$5</f>
        <v>140627.70437893036</v>
      </c>
      <c r="AJ8" s="37">
        <f t="shared" ref="AJ8:AJ10" si="35">AG8+AI8</f>
        <v>920627.70437893039</v>
      </c>
      <c r="AK8" s="38">
        <f t="shared" ref="AK8:AK10" si="36">AJ8*AK$5</f>
        <v>11968160.156926095</v>
      </c>
    </row>
    <row r="9" spans="2:37" ht="19" customHeight="1">
      <c r="B9" s="169"/>
      <c r="C9" s="170"/>
      <c r="D9" s="170"/>
      <c r="E9" s="170"/>
      <c r="F9" s="171"/>
      <c r="G9" s="45">
        <v>17</v>
      </c>
      <c r="H9" s="50">
        <f t="shared" si="0"/>
        <v>300000</v>
      </c>
      <c r="I9" s="23">
        <f t="shared" si="1"/>
        <v>1731.1021350259664</v>
      </c>
      <c r="J9" s="23">
        <f t="shared" si="2"/>
        <v>10819.388343912289</v>
      </c>
      <c r="K9" s="37">
        <f t="shared" si="3"/>
        <v>310819.38834391232</v>
      </c>
      <c r="L9" s="38">
        <f t="shared" si="4"/>
        <v>4040652.0484708603</v>
      </c>
      <c r="M9" s="50">
        <f t="shared" si="5"/>
        <v>300000</v>
      </c>
      <c r="N9" s="23">
        <f t="shared" si="6"/>
        <v>1730.8025154329889</v>
      </c>
      <c r="O9" s="23">
        <f t="shared" si="7"/>
        <v>54087.578607280899</v>
      </c>
      <c r="P9" s="37">
        <f t="shared" si="8"/>
        <v>354087.57860728091</v>
      </c>
      <c r="Q9" s="38">
        <f t="shared" si="9"/>
        <v>4603138.5218946515</v>
      </c>
      <c r="R9" s="23">
        <f t="shared" si="10"/>
        <v>325000</v>
      </c>
      <c r="S9" s="23">
        <f t="shared" si="11"/>
        <v>1875.036058385738</v>
      </c>
      <c r="T9" s="23">
        <f t="shared" si="30"/>
        <v>58594.876824554311</v>
      </c>
      <c r="U9" s="37">
        <f t="shared" si="31"/>
        <v>383594.87682455429</v>
      </c>
      <c r="V9" s="38">
        <f t="shared" si="32"/>
        <v>4986733.3987192055</v>
      </c>
      <c r="W9" s="23">
        <f t="shared" si="15"/>
        <v>409000</v>
      </c>
      <c r="X9" s="23">
        <f t="shared" si="16"/>
        <v>2359.6607627069748</v>
      </c>
      <c r="Y9" s="23">
        <f t="shared" si="17"/>
        <v>73739.398834592968</v>
      </c>
      <c r="Z9" s="37">
        <f t="shared" si="18"/>
        <v>482739.39883459295</v>
      </c>
      <c r="AA9" s="38">
        <f t="shared" si="19"/>
        <v>6275612.1848497083</v>
      </c>
      <c r="AB9" s="23">
        <f t="shared" si="20"/>
        <v>615000</v>
      </c>
      <c r="AC9" s="23">
        <f t="shared" si="21"/>
        <v>3548.1451566376272</v>
      </c>
      <c r="AD9" s="23">
        <f t="shared" si="22"/>
        <v>110879.53614492585</v>
      </c>
      <c r="AE9" s="37">
        <f t="shared" si="23"/>
        <v>725879.53614492586</v>
      </c>
      <c r="AF9" s="38">
        <f t="shared" si="24"/>
        <v>9436433.9698840361</v>
      </c>
      <c r="AG9" s="23">
        <f t="shared" si="33"/>
        <v>765000</v>
      </c>
      <c r="AH9" s="23">
        <f t="shared" si="26"/>
        <v>4413.5464143541221</v>
      </c>
      <c r="AI9" s="23">
        <f t="shared" si="34"/>
        <v>137923.32544856632</v>
      </c>
      <c r="AJ9" s="37">
        <f t="shared" si="35"/>
        <v>902923.32544856635</v>
      </c>
      <c r="AK9" s="38">
        <f t="shared" si="36"/>
        <v>11738003.230831362</v>
      </c>
    </row>
    <row r="10" spans="2:37" ht="19" customHeight="1">
      <c r="B10" s="169"/>
      <c r="C10" s="170"/>
      <c r="D10" s="170"/>
      <c r="E10" s="170"/>
      <c r="F10" s="171"/>
      <c r="G10" s="45">
        <v>16</v>
      </c>
      <c r="H10" s="50">
        <f t="shared" si="0"/>
        <v>295000</v>
      </c>
      <c r="I10" s="23">
        <f t="shared" ref="I10:I24" si="37">H10/173.33</f>
        <v>1701.9558068424392</v>
      </c>
      <c r="J10" s="23">
        <f t="shared" si="2"/>
        <v>10637.223792765244</v>
      </c>
      <c r="K10" s="37">
        <f t="shared" si="3"/>
        <v>305637.22379276523</v>
      </c>
      <c r="L10" s="38">
        <f t="shared" si="4"/>
        <v>3973283.9093059478</v>
      </c>
      <c r="M10" s="50">
        <f t="shared" si="5"/>
        <v>295000</v>
      </c>
      <c r="N10" s="23">
        <f t="shared" si="6"/>
        <v>1701.9558068424392</v>
      </c>
      <c r="O10" s="23">
        <f t="shared" si="7"/>
        <v>53186.118963826222</v>
      </c>
      <c r="P10" s="37">
        <f t="shared" si="8"/>
        <v>348186.11896382621</v>
      </c>
      <c r="Q10" s="38">
        <f t="shared" si="9"/>
        <v>4526419.546529741</v>
      </c>
      <c r="R10" s="23">
        <f t="shared" si="10"/>
        <v>320000</v>
      </c>
      <c r="S10" s="23">
        <f t="shared" si="11"/>
        <v>1846.1893497951883</v>
      </c>
      <c r="T10" s="23">
        <f t="shared" si="30"/>
        <v>57693.417181099634</v>
      </c>
      <c r="U10" s="37">
        <f t="shared" si="31"/>
        <v>377693.41718109965</v>
      </c>
      <c r="V10" s="38">
        <f t="shared" si="32"/>
        <v>4910014.4233542951</v>
      </c>
      <c r="W10" s="23">
        <f t="shared" si="15"/>
        <v>402000</v>
      </c>
      <c r="X10" s="23">
        <f t="shared" si="16"/>
        <v>2319.275370680205</v>
      </c>
      <c r="Y10" s="23">
        <f t="shared" si="17"/>
        <v>72477.355333756408</v>
      </c>
      <c r="Z10" s="37">
        <f t="shared" si="18"/>
        <v>474477.35533375642</v>
      </c>
      <c r="AA10" s="38">
        <f t="shared" si="19"/>
        <v>6168205.6193388337</v>
      </c>
      <c r="AB10" s="23">
        <f t="shared" si="20"/>
        <v>600000</v>
      </c>
      <c r="AC10" s="23">
        <f t="shared" si="21"/>
        <v>3461.6050308659778</v>
      </c>
      <c r="AD10" s="23">
        <f t="shared" si="22"/>
        <v>108175.1572145618</v>
      </c>
      <c r="AE10" s="37">
        <f t="shared" si="23"/>
        <v>708175.15721456183</v>
      </c>
      <c r="AF10" s="38">
        <f t="shared" si="24"/>
        <v>9206277.0437893029</v>
      </c>
      <c r="AG10" s="23">
        <f t="shared" si="33"/>
        <v>750000</v>
      </c>
      <c r="AH10" s="23">
        <f t="shared" si="26"/>
        <v>4327.0062885824727</v>
      </c>
      <c r="AI10" s="23">
        <f t="shared" si="34"/>
        <v>135218.94651820228</v>
      </c>
      <c r="AJ10" s="37">
        <f t="shared" si="35"/>
        <v>885218.94651820231</v>
      </c>
      <c r="AK10" s="38">
        <f t="shared" si="36"/>
        <v>11507846.304736629</v>
      </c>
    </row>
    <row r="11" spans="2:37" ht="19" customHeight="1">
      <c r="B11" s="169"/>
      <c r="C11" s="170"/>
      <c r="D11" s="170"/>
      <c r="E11" s="170"/>
      <c r="F11" s="171"/>
      <c r="G11" s="45">
        <v>15</v>
      </c>
      <c r="H11" s="50">
        <f t="shared" si="0"/>
        <v>290000</v>
      </c>
      <c r="I11" s="23">
        <f t="shared" si="37"/>
        <v>1673.1090982518892</v>
      </c>
      <c r="J11" s="23">
        <f t="shared" si="2"/>
        <v>10456.931864074308</v>
      </c>
      <c r="K11" s="37">
        <f t="shared" si="3"/>
        <v>300456.93186407431</v>
      </c>
      <c r="L11" s="38">
        <f t="shared" si="4"/>
        <v>3905940.1142329662</v>
      </c>
      <c r="M11" s="50">
        <f t="shared" si="5"/>
        <v>290000</v>
      </c>
      <c r="N11" s="23">
        <f t="shared" si="6"/>
        <v>1673.1090982518892</v>
      </c>
      <c r="O11" s="23">
        <f t="shared" si="7"/>
        <v>52284.659320371546</v>
      </c>
      <c r="P11" s="37">
        <f t="shared" si="8"/>
        <v>342284.65932037157</v>
      </c>
      <c r="Q11" s="38">
        <f t="shared" si="9"/>
        <v>4449700.5711648306</v>
      </c>
      <c r="R11" s="23">
        <f t="shared" si="10"/>
        <v>315000</v>
      </c>
      <c r="S11" s="23">
        <f t="shared" si="11"/>
        <v>1817.3426412046383</v>
      </c>
      <c r="T11" s="23">
        <f t="shared" si="30"/>
        <v>56791.95753764495</v>
      </c>
      <c r="U11" s="37">
        <f t="shared" si="31"/>
        <v>371791.95753764495</v>
      </c>
      <c r="V11" s="38">
        <f t="shared" si="32"/>
        <v>4833295.4479893846</v>
      </c>
      <c r="W11" s="23">
        <f t="shared" si="15"/>
        <v>395000</v>
      </c>
      <c r="X11" s="23">
        <f t="shared" si="16"/>
        <v>2278.8899786534353</v>
      </c>
      <c r="Y11" s="23">
        <f t="shared" si="17"/>
        <v>71215.311832919848</v>
      </c>
      <c r="Z11" s="37">
        <f t="shared" si="18"/>
        <v>466215.31183291983</v>
      </c>
      <c r="AA11" s="38">
        <f t="shared" si="19"/>
        <v>6060799.0538279582</v>
      </c>
      <c r="AB11" s="23">
        <f t="shared" si="20"/>
        <v>585000</v>
      </c>
      <c r="AC11" s="23">
        <f t="shared" si="21"/>
        <v>3375.0649050943284</v>
      </c>
      <c r="AD11" s="23">
        <f t="shared" si="22"/>
        <v>105470.77828419776</v>
      </c>
      <c r="AE11" s="37">
        <f t="shared" si="23"/>
        <v>690470.77828419779</v>
      </c>
      <c r="AF11" s="38">
        <f t="shared" si="24"/>
        <v>8976120.1176945716</v>
      </c>
      <c r="AG11" s="23">
        <f t="shared" si="25"/>
        <v>735000</v>
      </c>
      <c r="AH11" s="23">
        <f t="shared" si="26"/>
        <v>4240.4661628108233</v>
      </c>
      <c r="AI11" s="23">
        <f t="shared" si="27"/>
        <v>132514.56758783822</v>
      </c>
      <c r="AJ11" s="37">
        <f t="shared" si="28"/>
        <v>867514.56758783828</v>
      </c>
      <c r="AK11" s="38">
        <f t="shared" si="29"/>
        <v>11277689.378641898</v>
      </c>
    </row>
    <row r="12" spans="2:37" ht="19" customHeight="1">
      <c r="B12" s="169"/>
      <c r="C12" s="170"/>
      <c r="D12" s="170"/>
      <c r="E12" s="170"/>
      <c r="F12" s="171"/>
      <c r="G12" s="45">
        <v>14</v>
      </c>
      <c r="H12" s="50">
        <f t="shared" si="0"/>
        <v>285000</v>
      </c>
      <c r="I12" s="23">
        <f t="shared" si="37"/>
        <v>1644.2623896613395</v>
      </c>
      <c r="J12" s="23">
        <f t="shared" si="2"/>
        <v>10276.639935383373</v>
      </c>
      <c r="K12" s="37">
        <f t="shared" si="3"/>
        <v>295276.6399353834</v>
      </c>
      <c r="L12" s="38">
        <f t="shared" si="4"/>
        <v>3838596.3191599841</v>
      </c>
      <c r="M12" s="50">
        <f t="shared" si="5"/>
        <v>285000</v>
      </c>
      <c r="N12" s="23">
        <f t="shared" si="6"/>
        <v>1644.2623896613395</v>
      </c>
      <c r="O12" s="23">
        <f t="shared" si="7"/>
        <v>51383.199676916862</v>
      </c>
      <c r="P12" s="37">
        <f t="shared" si="8"/>
        <v>336383.19967691688</v>
      </c>
      <c r="Q12" s="38">
        <f t="shared" si="9"/>
        <v>4372981.5957999192</v>
      </c>
      <c r="R12" s="23">
        <f t="shared" si="10"/>
        <v>310000</v>
      </c>
      <c r="S12" s="23">
        <f t="shared" si="11"/>
        <v>1788.4959326140886</v>
      </c>
      <c r="T12" s="23">
        <f t="shared" si="30"/>
        <v>55890.497894190266</v>
      </c>
      <c r="U12" s="37">
        <f t="shared" si="31"/>
        <v>365890.49789419025</v>
      </c>
      <c r="V12" s="38">
        <f t="shared" si="32"/>
        <v>4756576.4726244733</v>
      </c>
      <c r="W12" s="23">
        <f t="shared" si="15"/>
        <v>388000</v>
      </c>
      <c r="X12" s="23">
        <f t="shared" si="16"/>
        <v>2238.5045866266655</v>
      </c>
      <c r="Y12" s="23">
        <f t="shared" si="17"/>
        <v>69953.268332083302</v>
      </c>
      <c r="Z12" s="37">
        <f t="shared" si="18"/>
        <v>457953.2683320833</v>
      </c>
      <c r="AA12" s="38">
        <f t="shared" si="19"/>
        <v>5953392.4883170826</v>
      </c>
      <c r="AB12" s="23">
        <f t="shared" si="20"/>
        <v>570000</v>
      </c>
      <c r="AC12" s="23">
        <f t="shared" ref="AC12:AC24" si="38">AB12/173.33</f>
        <v>3288.524779322679</v>
      </c>
      <c r="AD12" s="23">
        <f t="shared" si="22"/>
        <v>102766.39935383372</v>
      </c>
      <c r="AE12" s="37">
        <f t="shared" si="23"/>
        <v>672766.39935383375</v>
      </c>
      <c r="AF12" s="38">
        <f t="shared" si="24"/>
        <v>8745963.1915998384</v>
      </c>
      <c r="AG12" s="23">
        <f t="shared" si="25"/>
        <v>720000</v>
      </c>
      <c r="AH12" s="23">
        <f t="shared" si="26"/>
        <v>4153.9260370391739</v>
      </c>
      <c r="AI12" s="23">
        <f t="shared" si="27"/>
        <v>129810.18865747419</v>
      </c>
      <c r="AJ12" s="37">
        <f t="shared" si="28"/>
        <v>849810.18865747424</v>
      </c>
      <c r="AK12" s="38">
        <f t="shared" si="29"/>
        <v>11047532.452547165</v>
      </c>
    </row>
    <row r="13" spans="2:37" ht="20">
      <c r="B13" s="169"/>
      <c r="C13" s="170"/>
      <c r="D13" s="170"/>
      <c r="E13" s="170"/>
      <c r="F13" s="171"/>
      <c r="G13" s="45">
        <v>13</v>
      </c>
      <c r="H13" s="50">
        <f t="shared" si="0"/>
        <v>280000</v>
      </c>
      <c r="I13" s="23">
        <f t="shared" si="37"/>
        <v>1615.4156810707898</v>
      </c>
      <c r="J13" s="23">
        <f t="shared" si="2"/>
        <v>10096.348006692437</v>
      </c>
      <c r="K13" s="37">
        <f t="shared" si="3"/>
        <v>290096.34800669242</v>
      </c>
      <c r="L13" s="38">
        <f t="shared" si="4"/>
        <v>3771252.5240870016</v>
      </c>
      <c r="M13" s="50">
        <f t="shared" si="5"/>
        <v>280000</v>
      </c>
      <c r="N13" s="23">
        <f t="shared" si="6"/>
        <v>1615.4156810707898</v>
      </c>
      <c r="O13" s="23">
        <f t="shared" si="7"/>
        <v>50481.740033462185</v>
      </c>
      <c r="P13" s="37">
        <f t="shared" si="8"/>
        <v>330481.74003346218</v>
      </c>
      <c r="Q13" s="38">
        <f t="shared" si="9"/>
        <v>4296262.6204350088</v>
      </c>
      <c r="R13" s="23">
        <f t="shared" si="10"/>
        <v>305000</v>
      </c>
      <c r="S13" s="23">
        <f t="shared" si="11"/>
        <v>1759.6492240235389</v>
      </c>
      <c r="T13" s="23">
        <f t="shared" si="30"/>
        <v>54989.03825073559</v>
      </c>
      <c r="U13" s="37">
        <f t="shared" si="31"/>
        <v>359989.03825073561</v>
      </c>
      <c r="V13" s="38">
        <f t="shared" si="32"/>
        <v>4679857.4972595628</v>
      </c>
      <c r="W13" s="23">
        <f t="shared" ref="W13:W15" si="39">W14+W$5</f>
        <v>381000</v>
      </c>
      <c r="X13" s="23">
        <f t="shared" si="16"/>
        <v>2198.1191945998962</v>
      </c>
      <c r="Y13" s="23">
        <f t="shared" ref="Y13:Y15" si="40">X13*1.25*Y$5</f>
        <v>68691.224831246756</v>
      </c>
      <c r="Z13" s="37">
        <f t="shared" ref="Z13:Z15" si="41">W13+Y13</f>
        <v>449691.22483124677</v>
      </c>
      <c r="AA13" s="38">
        <f t="shared" ref="AA13:AA15" si="42">Z13*AA$5</f>
        <v>5845985.922806208</v>
      </c>
      <c r="AB13" s="23">
        <f t="shared" si="20"/>
        <v>555000</v>
      </c>
      <c r="AC13" s="23">
        <f t="shared" si="38"/>
        <v>3201.9846535510296</v>
      </c>
      <c r="AD13" s="23">
        <f t="shared" si="22"/>
        <v>100062.02042346967</v>
      </c>
      <c r="AE13" s="37">
        <f t="shared" si="23"/>
        <v>655062.02042346972</v>
      </c>
      <c r="AF13" s="38">
        <f t="shared" si="24"/>
        <v>8515806.2655051071</v>
      </c>
      <c r="AG13" s="23">
        <f t="shared" ref="AG13:AG16" si="43">AG14+AG$5</f>
        <v>705000</v>
      </c>
      <c r="AH13" s="23">
        <f t="shared" si="26"/>
        <v>4067.3859112675241</v>
      </c>
      <c r="AI13" s="23">
        <f t="shared" ref="AI13:AI15" si="44">AH13*1.25*AI$5</f>
        <v>127105.80972711014</v>
      </c>
      <c r="AJ13" s="37">
        <f t="shared" ref="AJ13:AJ16" si="45">AG13+AI13</f>
        <v>832105.8097271102</v>
      </c>
      <c r="AK13" s="38">
        <f t="shared" ref="AK13:AK15" si="46">AJ13*AK$5</f>
        <v>10817375.526452433</v>
      </c>
    </row>
    <row r="14" spans="2:37" ht="20">
      <c r="B14" s="169"/>
      <c r="C14" s="170"/>
      <c r="D14" s="170"/>
      <c r="E14" s="170"/>
      <c r="F14" s="171"/>
      <c r="G14" s="45">
        <v>12</v>
      </c>
      <c r="H14" s="50">
        <f t="shared" si="0"/>
        <v>275000</v>
      </c>
      <c r="I14" s="23">
        <f t="shared" si="37"/>
        <v>1586.5689724802398</v>
      </c>
      <c r="J14" s="23">
        <f t="shared" si="2"/>
        <v>9916.0560780014985</v>
      </c>
      <c r="K14" s="37">
        <f t="shared" si="3"/>
        <v>284916.05607800151</v>
      </c>
      <c r="L14" s="38">
        <f t="shared" si="4"/>
        <v>3703908.7290140195</v>
      </c>
      <c r="M14" s="50">
        <f t="shared" si="5"/>
        <v>275000</v>
      </c>
      <c r="N14" s="23">
        <f t="shared" si="6"/>
        <v>1586.5689724802398</v>
      </c>
      <c r="O14" s="23">
        <f t="shared" si="7"/>
        <v>49580.280390007494</v>
      </c>
      <c r="P14" s="37">
        <f t="shared" si="8"/>
        <v>324580.28039000748</v>
      </c>
      <c r="Q14" s="38">
        <f t="shared" si="9"/>
        <v>4219543.6450700974</v>
      </c>
      <c r="R14" s="23">
        <f t="shared" si="10"/>
        <v>300000</v>
      </c>
      <c r="S14" s="23">
        <f t="shared" si="11"/>
        <v>1730.8025154329889</v>
      </c>
      <c r="T14" s="23">
        <f t="shared" si="30"/>
        <v>54087.578607280899</v>
      </c>
      <c r="U14" s="37">
        <f t="shared" si="31"/>
        <v>354087.57860728091</v>
      </c>
      <c r="V14" s="38">
        <f t="shared" si="32"/>
        <v>4603138.5218946515</v>
      </c>
      <c r="W14" s="23">
        <f t="shared" si="39"/>
        <v>374000</v>
      </c>
      <c r="X14" s="23">
        <f t="shared" si="16"/>
        <v>2157.7338025731265</v>
      </c>
      <c r="Y14" s="23">
        <f t="shared" si="40"/>
        <v>67429.181330410196</v>
      </c>
      <c r="Z14" s="37">
        <f t="shared" si="41"/>
        <v>441429.18133041018</v>
      </c>
      <c r="AA14" s="38">
        <f t="shared" si="42"/>
        <v>5738579.3572953325</v>
      </c>
      <c r="AB14" s="23">
        <f t="shared" si="20"/>
        <v>540000</v>
      </c>
      <c r="AC14" s="23">
        <f t="shared" si="38"/>
        <v>3115.4445277793802</v>
      </c>
      <c r="AD14" s="23">
        <f t="shared" si="22"/>
        <v>97357.641493105635</v>
      </c>
      <c r="AE14" s="37">
        <f t="shared" si="23"/>
        <v>637357.64149310568</v>
      </c>
      <c r="AF14" s="38">
        <f t="shared" si="24"/>
        <v>8285649.3394103739</v>
      </c>
      <c r="AG14" s="23">
        <f t="shared" si="43"/>
        <v>690000</v>
      </c>
      <c r="AH14" s="23">
        <f t="shared" si="26"/>
        <v>3980.8457854958747</v>
      </c>
      <c r="AI14" s="23">
        <f t="shared" si="44"/>
        <v>124401.43079674608</v>
      </c>
      <c r="AJ14" s="37">
        <f t="shared" si="45"/>
        <v>814401.43079674605</v>
      </c>
      <c r="AK14" s="38">
        <f t="shared" si="46"/>
        <v>10587218.600357698</v>
      </c>
    </row>
    <row r="15" spans="2:37" ht="20">
      <c r="B15" s="169"/>
      <c r="C15" s="170"/>
      <c r="D15" s="170"/>
      <c r="E15" s="170"/>
      <c r="F15" s="171"/>
      <c r="G15" s="45">
        <v>11</v>
      </c>
      <c r="H15" s="50">
        <f t="shared" si="0"/>
        <v>270000</v>
      </c>
      <c r="I15" s="23">
        <f t="shared" si="37"/>
        <v>1557.7222638896901</v>
      </c>
      <c r="J15" s="23">
        <f t="shared" si="2"/>
        <v>9735.7641493105639</v>
      </c>
      <c r="K15" s="37">
        <f t="shared" si="3"/>
        <v>279735.76414931059</v>
      </c>
      <c r="L15" s="38">
        <f t="shared" si="4"/>
        <v>3636564.9339410379</v>
      </c>
      <c r="M15" s="50">
        <f t="shared" si="5"/>
        <v>270000</v>
      </c>
      <c r="N15" s="23">
        <f t="shared" si="6"/>
        <v>1557.7222638896901</v>
      </c>
      <c r="O15" s="23">
        <f t="shared" si="7"/>
        <v>48678.820746552818</v>
      </c>
      <c r="P15" s="37">
        <f t="shared" si="8"/>
        <v>318678.82074655284</v>
      </c>
      <c r="Q15" s="38">
        <f t="shared" si="9"/>
        <v>4142824.669705187</v>
      </c>
      <c r="R15" s="23">
        <f t="shared" si="10"/>
        <v>295000</v>
      </c>
      <c r="S15" s="23">
        <f t="shared" si="11"/>
        <v>1701.9558068424392</v>
      </c>
      <c r="T15" s="23">
        <f t="shared" si="30"/>
        <v>53186.118963826222</v>
      </c>
      <c r="U15" s="37">
        <f t="shared" si="31"/>
        <v>348186.11896382621</v>
      </c>
      <c r="V15" s="38">
        <f t="shared" si="32"/>
        <v>4526419.546529741</v>
      </c>
      <c r="W15" s="23">
        <f t="shared" si="39"/>
        <v>367000</v>
      </c>
      <c r="X15" s="23">
        <f t="shared" si="16"/>
        <v>2117.3484105463567</v>
      </c>
      <c r="Y15" s="23">
        <f t="shared" si="40"/>
        <v>66167.13782957365</v>
      </c>
      <c r="Z15" s="37">
        <f t="shared" si="41"/>
        <v>433167.13782957365</v>
      </c>
      <c r="AA15" s="38">
        <f t="shared" si="42"/>
        <v>5631172.7917844579</v>
      </c>
      <c r="AB15" s="23">
        <f t="shared" si="20"/>
        <v>525000</v>
      </c>
      <c r="AC15" s="23">
        <f t="shared" si="38"/>
        <v>3028.9044020077308</v>
      </c>
      <c r="AD15" s="23">
        <f t="shared" si="22"/>
        <v>94653.262562741584</v>
      </c>
      <c r="AE15" s="37">
        <f t="shared" si="23"/>
        <v>619653.26256274153</v>
      </c>
      <c r="AF15" s="38">
        <f t="shared" si="24"/>
        <v>8055492.4133156398</v>
      </c>
      <c r="AG15" s="23">
        <f t="shared" si="43"/>
        <v>675000</v>
      </c>
      <c r="AH15" s="23">
        <f t="shared" si="26"/>
        <v>3894.3056597242253</v>
      </c>
      <c r="AI15" s="23">
        <f t="shared" si="44"/>
        <v>121697.05186638205</v>
      </c>
      <c r="AJ15" s="37">
        <f t="shared" si="45"/>
        <v>796697.05186638201</v>
      </c>
      <c r="AK15" s="38">
        <f t="shared" si="46"/>
        <v>10357061.674262967</v>
      </c>
    </row>
    <row r="16" spans="2:37" s="11" customFormat="1" ht="20.5" customHeight="1">
      <c r="B16" s="169"/>
      <c r="C16" s="170"/>
      <c r="D16" s="170"/>
      <c r="E16" s="170"/>
      <c r="F16" s="171"/>
      <c r="G16" s="51">
        <v>10</v>
      </c>
      <c r="H16" s="50">
        <f t="shared" ref="H16:H23" si="47">H17+H$5</f>
        <v>265000</v>
      </c>
      <c r="I16" s="23">
        <f t="shared" si="37"/>
        <v>1528.8755552991402</v>
      </c>
      <c r="J16" s="23">
        <f t="shared" si="2"/>
        <v>9555.4722206196275</v>
      </c>
      <c r="K16" s="37">
        <f t="shared" si="3"/>
        <v>274555.47222061962</v>
      </c>
      <c r="L16" s="38">
        <f t="shared" si="4"/>
        <v>3569221.1388680548</v>
      </c>
      <c r="M16" s="50">
        <f t="shared" si="5"/>
        <v>265000</v>
      </c>
      <c r="N16" s="23">
        <f t="shared" si="6"/>
        <v>1528.8755552991402</v>
      </c>
      <c r="O16" s="23">
        <f t="shared" ref="O16:O26" si="48">N16*1.25*O$5</f>
        <v>47777.361103098134</v>
      </c>
      <c r="P16" s="37">
        <f t="shared" ref="P16:P26" si="49">M16+O16</f>
        <v>312777.36110309814</v>
      </c>
      <c r="Q16" s="38">
        <f t="shared" ref="Q16:Q27" si="50">P16*Q$5</f>
        <v>4066105.6943402756</v>
      </c>
      <c r="R16" s="23">
        <f t="shared" ref="R16:R25" si="51">R17+R$5</f>
        <v>290000</v>
      </c>
      <c r="S16" s="23">
        <f t="shared" si="11"/>
        <v>1673.1090982518892</v>
      </c>
      <c r="T16" s="23">
        <f t="shared" ref="T16:T26" si="52">S16*1.25*T$5</f>
        <v>52284.659320371546</v>
      </c>
      <c r="U16" s="37">
        <f t="shared" ref="U16:U26" si="53">R16+T16</f>
        <v>342284.65932037157</v>
      </c>
      <c r="V16" s="38">
        <f t="shared" ref="V16:V27" si="54">U16*V$5</f>
        <v>4449700.5711648306</v>
      </c>
      <c r="W16" s="23">
        <f t="shared" ref="W16:W25" si="55">W17+W$5</f>
        <v>360000</v>
      </c>
      <c r="X16" s="23">
        <f t="shared" si="16"/>
        <v>2076.963018519587</v>
      </c>
      <c r="Y16" s="23">
        <f t="shared" ref="Y16:Y26" si="56">X16*1.25*Y$5</f>
        <v>64905.094328737097</v>
      </c>
      <c r="Z16" s="37">
        <f t="shared" ref="Z16:Z26" si="57">W16+Y16</f>
        <v>424905.09432873712</v>
      </c>
      <c r="AA16" s="38">
        <f t="shared" ref="AA16:AA27" si="58">Z16*AA$5</f>
        <v>5523766.2262735823</v>
      </c>
      <c r="AB16" s="23">
        <f t="shared" ref="AB16:AB25" si="59">AB17+AB$5</f>
        <v>510000</v>
      </c>
      <c r="AC16" s="23">
        <f t="shared" si="38"/>
        <v>2942.3642762360814</v>
      </c>
      <c r="AD16" s="23">
        <f t="shared" ref="AD16:AD26" si="60">AC16*1.25*AD$5</f>
        <v>91948.883632377547</v>
      </c>
      <c r="AE16" s="37">
        <f t="shared" ref="AE16:AE26" si="61">AB16+AD16</f>
        <v>601948.88363237749</v>
      </c>
      <c r="AF16" s="38">
        <f t="shared" ref="AF16:AF27" si="62">AE16*AF$5</f>
        <v>7825335.4872209076</v>
      </c>
      <c r="AG16" s="23">
        <f t="shared" si="43"/>
        <v>660000</v>
      </c>
      <c r="AH16" s="23">
        <f t="shared" si="26"/>
        <v>3807.7655339525759</v>
      </c>
      <c r="AI16" s="23">
        <f t="shared" ref="AI16:AI26" si="63">AH16*1.25*AI$5</f>
        <v>118992.67293601799</v>
      </c>
      <c r="AJ16" s="37">
        <f t="shared" si="45"/>
        <v>778992.67293601797</v>
      </c>
      <c r="AK16" s="38">
        <f t="shared" ref="AK16:AK27" si="64">AJ16*AK$5</f>
        <v>10126904.748168234</v>
      </c>
    </row>
    <row r="17" spans="2:37" s="11" customFormat="1" ht="21">
      <c r="B17" s="169"/>
      <c r="C17" s="170"/>
      <c r="D17" s="170"/>
      <c r="E17" s="170"/>
      <c r="F17" s="171"/>
      <c r="G17" s="27">
        <v>9</v>
      </c>
      <c r="H17" s="50">
        <f t="shared" si="47"/>
        <v>260000</v>
      </c>
      <c r="I17" s="23">
        <f t="shared" si="37"/>
        <v>1500.0288467085904</v>
      </c>
      <c r="J17" s="23">
        <f t="shared" si="2"/>
        <v>9375.1802919286893</v>
      </c>
      <c r="K17" s="37">
        <f t="shared" si="3"/>
        <v>269375.1802919287</v>
      </c>
      <c r="L17" s="38">
        <f t="shared" si="4"/>
        <v>3501877.3437950732</v>
      </c>
      <c r="M17" s="50">
        <f t="shared" si="5"/>
        <v>260000</v>
      </c>
      <c r="N17" s="23">
        <f t="shared" si="6"/>
        <v>1500.0288467085904</v>
      </c>
      <c r="O17" s="23">
        <f t="shared" si="48"/>
        <v>46875.90145964345</v>
      </c>
      <c r="P17" s="37">
        <f t="shared" si="49"/>
        <v>306875.90145964344</v>
      </c>
      <c r="Q17" s="38">
        <f t="shared" si="50"/>
        <v>3989386.7189753647</v>
      </c>
      <c r="R17" s="23">
        <f t="shared" si="51"/>
        <v>285000</v>
      </c>
      <c r="S17" s="23">
        <f t="shared" si="11"/>
        <v>1644.2623896613395</v>
      </c>
      <c r="T17" s="23">
        <f t="shared" si="52"/>
        <v>51383.199676916862</v>
      </c>
      <c r="U17" s="37">
        <f t="shared" si="53"/>
        <v>336383.19967691688</v>
      </c>
      <c r="V17" s="38">
        <f t="shared" si="54"/>
        <v>4372981.5957999192</v>
      </c>
      <c r="W17" s="23">
        <f t="shared" si="55"/>
        <v>353000</v>
      </c>
      <c r="X17" s="23">
        <f t="shared" si="16"/>
        <v>2036.577626492817</v>
      </c>
      <c r="Y17" s="23">
        <f t="shared" si="56"/>
        <v>63643.05082790053</v>
      </c>
      <c r="Z17" s="37">
        <f t="shared" si="57"/>
        <v>416643.05082790053</v>
      </c>
      <c r="AA17" s="38">
        <f t="shared" si="58"/>
        <v>5416359.6607627068</v>
      </c>
      <c r="AB17" s="23">
        <f t="shared" si="59"/>
        <v>495000</v>
      </c>
      <c r="AC17" s="23">
        <f t="shared" si="38"/>
        <v>2855.824150464432</v>
      </c>
      <c r="AD17" s="23">
        <f t="shared" si="60"/>
        <v>89244.504702013495</v>
      </c>
      <c r="AE17" s="37">
        <f t="shared" si="61"/>
        <v>584244.50470201345</v>
      </c>
      <c r="AF17" s="38">
        <f t="shared" si="62"/>
        <v>7595178.5611261744</v>
      </c>
      <c r="AG17" s="23">
        <f t="shared" ref="AG17:AG25" si="65">AG18+AG$5</f>
        <v>645000</v>
      </c>
      <c r="AH17" s="23">
        <f t="shared" si="26"/>
        <v>3721.2254081809265</v>
      </c>
      <c r="AI17" s="23">
        <f t="shared" si="63"/>
        <v>116288.29400565397</v>
      </c>
      <c r="AJ17" s="37">
        <f t="shared" ref="AJ17:AJ26" si="66">AG17+AI17</f>
        <v>761288.29400565394</v>
      </c>
      <c r="AK17" s="38">
        <f t="shared" si="64"/>
        <v>9896747.8220735006</v>
      </c>
    </row>
    <row r="18" spans="2:37" ht="20.5" customHeight="1">
      <c r="B18" s="169"/>
      <c r="C18" s="170"/>
      <c r="D18" s="170"/>
      <c r="E18" s="170"/>
      <c r="F18" s="171"/>
      <c r="G18" s="27">
        <v>8</v>
      </c>
      <c r="H18" s="50">
        <f t="shared" si="47"/>
        <v>255000</v>
      </c>
      <c r="I18" s="23">
        <f t="shared" si="37"/>
        <v>1471.1821381180407</v>
      </c>
      <c r="J18" s="23">
        <f t="shared" si="2"/>
        <v>9194.8883632377547</v>
      </c>
      <c r="K18" s="37">
        <f t="shared" si="3"/>
        <v>264194.88836323773</v>
      </c>
      <c r="L18" s="38">
        <f t="shared" si="4"/>
        <v>3434533.5487220902</v>
      </c>
      <c r="M18" s="50">
        <f t="shared" si="5"/>
        <v>255000</v>
      </c>
      <c r="N18" s="23">
        <f t="shared" si="6"/>
        <v>1471.1821381180407</v>
      </c>
      <c r="O18" s="23">
        <f t="shared" si="48"/>
        <v>45974.441816188773</v>
      </c>
      <c r="P18" s="37">
        <f t="shared" si="49"/>
        <v>300974.44181618874</v>
      </c>
      <c r="Q18" s="38">
        <f t="shared" si="50"/>
        <v>3912667.7436104538</v>
      </c>
      <c r="R18" s="23">
        <f t="shared" si="51"/>
        <v>280000</v>
      </c>
      <c r="S18" s="23">
        <f t="shared" si="11"/>
        <v>1615.4156810707898</v>
      </c>
      <c r="T18" s="23">
        <f t="shared" si="52"/>
        <v>50481.740033462185</v>
      </c>
      <c r="U18" s="37">
        <f t="shared" si="53"/>
        <v>330481.74003346218</v>
      </c>
      <c r="V18" s="38">
        <f t="shared" si="54"/>
        <v>4296262.6204350088</v>
      </c>
      <c r="W18" s="23">
        <f t="shared" si="55"/>
        <v>346000</v>
      </c>
      <c r="X18" s="23">
        <f t="shared" si="16"/>
        <v>1996.1922344660472</v>
      </c>
      <c r="Y18" s="23">
        <f t="shared" si="56"/>
        <v>62381.007327063984</v>
      </c>
      <c r="Z18" s="37">
        <f t="shared" si="57"/>
        <v>408381.007327064</v>
      </c>
      <c r="AA18" s="38">
        <f t="shared" si="58"/>
        <v>5308953.0952518322</v>
      </c>
      <c r="AB18" s="23">
        <f t="shared" si="59"/>
        <v>480000</v>
      </c>
      <c r="AC18" s="23">
        <f t="shared" si="38"/>
        <v>2769.2840246927822</v>
      </c>
      <c r="AD18" s="23">
        <f t="shared" si="60"/>
        <v>86540.125771649444</v>
      </c>
      <c r="AE18" s="37">
        <f t="shared" si="61"/>
        <v>566540.12577164941</v>
      </c>
      <c r="AF18" s="38">
        <f t="shared" si="62"/>
        <v>7365021.6350314422</v>
      </c>
      <c r="AG18" s="23">
        <f t="shared" si="65"/>
        <v>630000</v>
      </c>
      <c r="AH18" s="23">
        <f t="shared" si="26"/>
        <v>3634.6852824092766</v>
      </c>
      <c r="AI18" s="23">
        <f t="shared" si="63"/>
        <v>113583.9150752899</v>
      </c>
      <c r="AJ18" s="37">
        <f>AG18+AI18</f>
        <v>743583.9150752899</v>
      </c>
      <c r="AK18" s="38">
        <f t="shared" si="64"/>
        <v>9666590.8959787693</v>
      </c>
    </row>
    <row r="19" spans="2:37" ht="21">
      <c r="B19" s="169"/>
      <c r="C19" s="170"/>
      <c r="D19" s="170"/>
      <c r="E19" s="170"/>
      <c r="F19" s="171"/>
      <c r="G19" s="27">
        <v>7</v>
      </c>
      <c r="H19" s="50">
        <f t="shared" si="47"/>
        <v>250000</v>
      </c>
      <c r="I19" s="23">
        <f t="shared" si="37"/>
        <v>1442.3354295274908</v>
      </c>
      <c r="J19" s="23">
        <f t="shared" si="2"/>
        <v>9014.5964345468183</v>
      </c>
      <c r="K19" s="37">
        <f t="shared" si="3"/>
        <v>259014.59643454681</v>
      </c>
      <c r="L19" s="38">
        <f t="shared" si="4"/>
        <v>3367189.7536491086</v>
      </c>
      <c r="M19" s="50">
        <f t="shared" si="5"/>
        <v>250000</v>
      </c>
      <c r="N19" s="23">
        <f t="shared" si="6"/>
        <v>1442.3354295274908</v>
      </c>
      <c r="O19" s="23">
        <f t="shared" si="48"/>
        <v>45072.98217273409</v>
      </c>
      <c r="P19" s="37">
        <f t="shared" si="49"/>
        <v>295072.9821727341</v>
      </c>
      <c r="Q19" s="38">
        <f t="shared" si="50"/>
        <v>3835948.7682455434</v>
      </c>
      <c r="R19" s="23">
        <f t="shared" si="51"/>
        <v>275000</v>
      </c>
      <c r="S19" s="23">
        <f t="shared" si="11"/>
        <v>1586.5689724802398</v>
      </c>
      <c r="T19" s="23">
        <f t="shared" si="52"/>
        <v>49580.280390007494</v>
      </c>
      <c r="U19" s="37">
        <f t="shared" si="53"/>
        <v>324580.28039000748</v>
      </c>
      <c r="V19" s="38">
        <f t="shared" si="54"/>
        <v>4219543.6450700974</v>
      </c>
      <c r="W19" s="23">
        <f t="shared" si="55"/>
        <v>339000</v>
      </c>
      <c r="X19" s="23">
        <f t="shared" si="16"/>
        <v>1955.8068424392775</v>
      </c>
      <c r="Y19" s="23">
        <f t="shared" si="56"/>
        <v>61118.963826227424</v>
      </c>
      <c r="Z19" s="37">
        <f t="shared" si="57"/>
        <v>400118.96382622741</v>
      </c>
      <c r="AA19" s="38">
        <f t="shared" si="58"/>
        <v>5201546.5297409566</v>
      </c>
      <c r="AB19" s="23">
        <f t="shared" si="59"/>
        <v>465000</v>
      </c>
      <c r="AC19" s="23">
        <f t="shared" si="38"/>
        <v>2682.7438989211328</v>
      </c>
      <c r="AD19" s="23">
        <f t="shared" si="60"/>
        <v>83835.746841285407</v>
      </c>
      <c r="AE19" s="37">
        <f t="shared" si="61"/>
        <v>548835.74684128538</v>
      </c>
      <c r="AF19" s="38">
        <f t="shared" si="62"/>
        <v>7134864.7089367099</v>
      </c>
      <c r="AG19" s="23">
        <f t="shared" si="65"/>
        <v>615000</v>
      </c>
      <c r="AH19" s="23">
        <f t="shared" si="26"/>
        <v>3548.1451566376272</v>
      </c>
      <c r="AI19" s="23">
        <f t="shared" si="63"/>
        <v>110879.53614492585</v>
      </c>
      <c r="AJ19" s="37">
        <f t="shared" si="66"/>
        <v>725879.53614492586</v>
      </c>
      <c r="AK19" s="38">
        <f t="shared" si="64"/>
        <v>9436433.9698840361</v>
      </c>
    </row>
    <row r="20" spans="2:37" ht="21">
      <c r="B20" s="169"/>
      <c r="C20" s="170"/>
      <c r="D20" s="170"/>
      <c r="E20" s="170"/>
      <c r="F20" s="171"/>
      <c r="G20" s="27">
        <v>6</v>
      </c>
      <c r="H20" s="50">
        <f t="shared" si="47"/>
        <v>245000</v>
      </c>
      <c r="I20" s="23">
        <f t="shared" si="37"/>
        <v>1413.488720936941</v>
      </c>
      <c r="J20" s="23">
        <f t="shared" si="2"/>
        <v>8834.3045058558819</v>
      </c>
      <c r="K20" s="37">
        <f t="shared" si="3"/>
        <v>253834.30450585589</v>
      </c>
      <c r="L20" s="38">
        <f t="shared" si="4"/>
        <v>3299845.9585761265</v>
      </c>
      <c r="M20" s="60">
        <f t="shared" si="5"/>
        <v>245000</v>
      </c>
      <c r="N20" s="23">
        <f t="shared" si="6"/>
        <v>1413.488720936941</v>
      </c>
      <c r="O20" s="61">
        <f t="shared" si="48"/>
        <v>44171.522529279406</v>
      </c>
      <c r="P20" s="36">
        <f t="shared" si="49"/>
        <v>289171.52252927941</v>
      </c>
      <c r="Q20" s="38">
        <f t="shared" si="50"/>
        <v>3759229.7928806324</v>
      </c>
      <c r="R20" s="23">
        <f t="shared" si="51"/>
        <v>270000</v>
      </c>
      <c r="S20" s="23">
        <f t="shared" si="11"/>
        <v>1557.7222638896901</v>
      </c>
      <c r="T20" s="23">
        <f t="shared" si="52"/>
        <v>48678.820746552818</v>
      </c>
      <c r="U20" s="37">
        <f t="shared" si="53"/>
        <v>318678.82074655284</v>
      </c>
      <c r="V20" s="38">
        <f t="shared" si="54"/>
        <v>4142824.669705187</v>
      </c>
      <c r="W20" s="23">
        <f t="shared" si="55"/>
        <v>332000</v>
      </c>
      <c r="X20" s="23">
        <f t="shared" si="16"/>
        <v>1915.4214504125077</v>
      </c>
      <c r="Y20" s="23">
        <f t="shared" si="56"/>
        <v>59856.920325390864</v>
      </c>
      <c r="Z20" s="37">
        <f t="shared" si="57"/>
        <v>391856.92032539088</v>
      </c>
      <c r="AA20" s="38">
        <f t="shared" si="58"/>
        <v>5094139.9642300811</v>
      </c>
      <c r="AB20" s="23">
        <f t="shared" si="59"/>
        <v>450000</v>
      </c>
      <c r="AC20" s="23">
        <f t="shared" si="38"/>
        <v>2596.2037731494834</v>
      </c>
      <c r="AD20" s="23">
        <f t="shared" si="60"/>
        <v>81131.367910921355</v>
      </c>
      <c r="AE20" s="37">
        <f t="shared" si="61"/>
        <v>531131.36791092134</v>
      </c>
      <c r="AF20" s="38">
        <f t="shared" si="62"/>
        <v>6904707.7828419777</v>
      </c>
      <c r="AG20" s="23">
        <f t="shared" si="65"/>
        <v>600000</v>
      </c>
      <c r="AH20" s="23">
        <f t="shared" si="26"/>
        <v>3461.6050308659778</v>
      </c>
      <c r="AI20" s="23">
        <f t="shared" si="63"/>
        <v>108175.1572145618</v>
      </c>
      <c r="AJ20" s="37">
        <f t="shared" si="66"/>
        <v>708175.15721456183</v>
      </c>
      <c r="AK20" s="38">
        <f t="shared" si="64"/>
        <v>9206277.0437893029</v>
      </c>
    </row>
    <row r="21" spans="2:37" ht="21">
      <c r="B21" s="169"/>
      <c r="C21" s="170"/>
      <c r="D21" s="170"/>
      <c r="E21" s="170"/>
      <c r="F21" s="171"/>
      <c r="G21" s="27">
        <v>5</v>
      </c>
      <c r="H21" s="50">
        <f t="shared" si="47"/>
        <v>240000</v>
      </c>
      <c r="I21" s="23">
        <f t="shared" si="37"/>
        <v>1384.6420123463911</v>
      </c>
      <c r="J21" s="23">
        <f t="shared" si="2"/>
        <v>8654.0125771649437</v>
      </c>
      <c r="K21" s="37">
        <f t="shared" si="3"/>
        <v>248654.01257716495</v>
      </c>
      <c r="L21" s="38">
        <f t="shared" si="4"/>
        <v>3232502.1635031444</v>
      </c>
      <c r="M21" s="50">
        <f t="shared" si="5"/>
        <v>240000</v>
      </c>
      <c r="N21" s="23">
        <f t="shared" si="6"/>
        <v>1384.6420123463911</v>
      </c>
      <c r="O21" s="23">
        <f t="shared" si="48"/>
        <v>43270.062885824722</v>
      </c>
      <c r="P21" s="37">
        <f t="shared" si="49"/>
        <v>283270.06288582471</v>
      </c>
      <c r="Q21" s="38">
        <f t="shared" si="50"/>
        <v>3682510.8175157211</v>
      </c>
      <c r="R21" s="23">
        <f t="shared" si="51"/>
        <v>265000</v>
      </c>
      <c r="S21" s="23">
        <f t="shared" si="11"/>
        <v>1528.8755552991402</v>
      </c>
      <c r="T21" s="23">
        <f t="shared" si="52"/>
        <v>47777.361103098134</v>
      </c>
      <c r="U21" s="37">
        <f t="shared" si="53"/>
        <v>312777.36110309814</v>
      </c>
      <c r="V21" s="38">
        <f t="shared" si="54"/>
        <v>4066105.6943402756</v>
      </c>
      <c r="W21" s="23">
        <f t="shared" si="55"/>
        <v>325000</v>
      </c>
      <c r="X21" s="23">
        <f t="shared" si="16"/>
        <v>1875.036058385738</v>
      </c>
      <c r="Y21" s="23">
        <f t="shared" si="56"/>
        <v>58594.876824554311</v>
      </c>
      <c r="Z21" s="37">
        <f t="shared" si="57"/>
        <v>383594.87682455429</v>
      </c>
      <c r="AA21" s="38">
        <f t="shared" si="58"/>
        <v>4986733.3987192055</v>
      </c>
      <c r="AB21" s="23">
        <f t="shared" si="59"/>
        <v>435000</v>
      </c>
      <c r="AC21" s="23">
        <f t="shared" si="38"/>
        <v>2509.663647377834</v>
      </c>
      <c r="AD21" s="23">
        <f t="shared" si="60"/>
        <v>78426.988980557318</v>
      </c>
      <c r="AE21" s="37">
        <f t="shared" si="61"/>
        <v>513426.9889805573</v>
      </c>
      <c r="AF21" s="38">
        <f t="shared" si="62"/>
        <v>6674550.8567472454</v>
      </c>
      <c r="AG21" s="23">
        <f t="shared" si="65"/>
        <v>585000</v>
      </c>
      <c r="AH21" s="23">
        <f t="shared" si="26"/>
        <v>3375.0649050943284</v>
      </c>
      <c r="AI21" s="23">
        <f t="shared" si="63"/>
        <v>105470.77828419776</v>
      </c>
      <c r="AJ21" s="37">
        <f t="shared" si="66"/>
        <v>690470.77828419779</v>
      </c>
      <c r="AK21" s="38">
        <f t="shared" si="64"/>
        <v>8976120.1176945716</v>
      </c>
    </row>
    <row r="22" spans="2:37" ht="21">
      <c r="B22" s="169"/>
      <c r="C22" s="170"/>
      <c r="D22" s="170"/>
      <c r="E22" s="170"/>
      <c r="F22" s="171"/>
      <c r="G22" s="27">
        <v>4</v>
      </c>
      <c r="H22" s="50">
        <f t="shared" si="47"/>
        <v>235000</v>
      </c>
      <c r="I22" s="23">
        <f t="shared" si="37"/>
        <v>1355.7953037558414</v>
      </c>
      <c r="J22" s="23">
        <f t="shared" si="2"/>
        <v>8473.7206484740091</v>
      </c>
      <c r="K22" s="37">
        <f t="shared" si="3"/>
        <v>243473.720648474</v>
      </c>
      <c r="L22" s="38">
        <f t="shared" si="4"/>
        <v>3165158.3684301618</v>
      </c>
      <c r="M22" s="50">
        <f t="shared" si="5"/>
        <v>235000</v>
      </c>
      <c r="N22" s="23">
        <f t="shared" si="6"/>
        <v>1355.7953037558414</v>
      </c>
      <c r="O22" s="23">
        <f t="shared" si="48"/>
        <v>42368.603242370045</v>
      </c>
      <c r="P22" s="37">
        <f t="shared" si="49"/>
        <v>277368.60324237007</v>
      </c>
      <c r="Q22" s="38">
        <f t="shared" si="50"/>
        <v>3605791.8421508111</v>
      </c>
      <c r="R22" s="23">
        <f t="shared" si="51"/>
        <v>260000</v>
      </c>
      <c r="S22" s="23">
        <f t="shared" si="11"/>
        <v>1500.0288467085904</v>
      </c>
      <c r="T22" s="23">
        <f t="shared" si="52"/>
        <v>46875.90145964345</v>
      </c>
      <c r="U22" s="37">
        <f t="shared" si="53"/>
        <v>306875.90145964344</v>
      </c>
      <c r="V22" s="38">
        <f t="shared" si="54"/>
        <v>3989386.7189753647</v>
      </c>
      <c r="W22" s="23">
        <f t="shared" si="55"/>
        <v>318000</v>
      </c>
      <c r="X22" s="23">
        <f t="shared" si="16"/>
        <v>1834.6506663589682</v>
      </c>
      <c r="Y22" s="23">
        <f t="shared" si="56"/>
        <v>57332.833323717765</v>
      </c>
      <c r="Z22" s="37">
        <f t="shared" si="57"/>
        <v>375332.83332371776</v>
      </c>
      <c r="AA22" s="38">
        <f t="shared" si="58"/>
        <v>4879326.8332083309</v>
      </c>
      <c r="AB22" s="23">
        <f t="shared" si="59"/>
        <v>420000</v>
      </c>
      <c r="AC22" s="23">
        <f t="shared" si="38"/>
        <v>2423.1235216061846</v>
      </c>
      <c r="AD22" s="23">
        <f t="shared" si="60"/>
        <v>75722.610050193267</v>
      </c>
      <c r="AE22" s="37">
        <f t="shared" si="61"/>
        <v>495722.61005019327</v>
      </c>
      <c r="AF22" s="38">
        <f t="shared" si="62"/>
        <v>6444393.9306525122</v>
      </c>
      <c r="AG22" s="23">
        <f t="shared" si="65"/>
        <v>570000</v>
      </c>
      <c r="AH22" s="23">
        <f t="shared" si="26"/>
        <v>3288.524779322679</v>
      </c>
      <c r="AI22" s="23">
        <f t="shared" si="63"/>
        <v>102766.39935383372</v>
      </c>
      <c r="AJ22" s="37">
        <f t="shared" si="66"/>
        <v>672766.39935383375</v>
      </c>
      <c r="AK22" s="38">
        <f t="shared" si="64"/>
        <v>8745963.1915998384</v>
      </c>
    </row>
    <row r="23" spans="2:37" ht="21">
      <c r="B23" s="169"/>
      <c r="C23" s="170"/>
      <c r="D23" s="170"/>
      <c r="E23" s="170"/>
      <c r="F23" s="171"/>
      <c r="G23" s="27">
        <v>3</v>
      </c>
      <c r="H23" s="50">
        <f t="shared" si="47"/>
        <v>230000</v>
      </c>
      <c r="I23" s="23">
        <f t="shared" si="37"/>
        <v>1326.9485951652916</v>
      </c>
      <c r="J23" s="23">
        <f t="shared" si="2"/>
        <v>8293.4287197830727</v>
      </c>
      <c r="K23" s="37">
        <f t="shared" si="3"/>
        <v>238293.42871978309</v>
      </c>
      <c r="L23" s="38">
        <f t="shared" si="4"/>
        <v>3097814.5733571802</v>
      </c>
      <c r="M23" s="50">
        <f t="shared" si="5"/>
        <v>230000</v>
      </c>
      <c r="N23" s="23">
        <f t="shared" si="6"/>
        <v>1326.9485951652916</v>
      </c>
      <c r="O23" s="23">
        <f t="shared" si="48"/>
        <v>41467.143598915362</v>
      </c>
      <c r="P23" s="37">
        <f t="shared" si="49"/>
        <v>271467.14359891537</v>
      </c>
      <c r="Q23" s="38">
        <f t="shared" si="50"/>
        <v>3529072.8667858997</v>
      </c>
      <c r="R23" s="23">
        <f t="shared" si="51"/>
        <v>255000</v>
      </c>
      <c r="S23" s="23">
        <f t="shared" si="11"/>
        <v>1471.1821381180407</v>
      </c>
      <c r="T23" s="23">
        <f t="shared" si="52"/>
        <v>45974.441816188773</v>
      </c>
      <c r="U23" s="37">
        <f t="shared" si="53"/>
        <v>300974.44181618874</v>
      </c>
      <c r="V23" s="62">
        <f t="shared" si="54"/>
        <v>3912667.7436104538</v>
      </c>
      <c r="W23" s="23">
        <f t="shared" si="55"/>
        <v>311000</v>
      </c>
      <c r="X23" s="23">
        <f t="shared" si="16"/>
        <v>1794.2652743321985</v>
      </c>
      <c r="Y23" s="23">
        <f t="shared" si="56"/>
        <v>56070.789822881205</v>
      </c>
      <c r="Z23" s="37">
        <f t="shared" si="57"/>
        <v>367070.78982288123</v>
      </c>
      <c r="AA23" s="38">
        <f t="shared" si="58"/>
        <v>4771920.2676974563</v>
      </c>
      <c r="AB23" s="23">
        <f t="shared" si="59"/>
        <v>405000</v>
      </c>
      <c r="AC23" s="23">
        <f t="shared" si="38"/>
        <v>2336.5833958345352</v>
      </c>
      <c r="AD23" s="23">
        <f t="shared" si="60"/>
        <v>73018.23111982923</v>
      </c>
      <c r="AE23" s="37">
        <f t="shared" si="61"/>
        <v>478018.23111982923</v>
      </c>
      <c r="AF23" s="38">
        <f t="shared" si="62"/>
        <v>6214237.00455778</v>
      </c>
      <c r="AG23" s="23">
        <f t="shared" si="65"/>
        <v>555000</v>
      </c>
      <c r="AH23" s="23">
        <f t="shared" si="26"/>
        <v>3201.9846535510296</v>
      </c>
      <c r="AI23" s="23">
        <f t="shared" si="63"/>
        <v>100062.02042346967</v>
      </c>
      <c r="AJ23" s="37">
        <f t="shared" si="66"/>
        <v>655062.02042346972</v>
      </c>
      <c r="AK23" s="38">
        <f t="shared" si="64"/>
        <v>8515806.2655051071</v>
      </c>
    </row>
    <row r="24" spans="2:37" ht="21">
      <c r="B24" s="169"/>
      <c r="C24" s="170"/>
      <c r="D24" s="170"/>
      <c r="E24" s="170"/>
      <c r="F24" s="171"/>
      <c r="G24" s="27">
        <v>2</v>
      </c>
      <c r="H24" s="50">
        <f>H25+H$5</f>
        <v>225000</v>
      </c>
      <c r="I24" s="23">
        <f t="shared" si="37"/>
        <v>1298.1018865747417</v>
      </c>
      <c r="J24" s="23">
        <f t="shared" si="2"/>
        <v>8113.1367910921363</v>
      </c>
      <c r="K24" s="37">
        <f t="shared" si="3"/>
        <v>233113.13679109214</v>
      </c>
      <c r="L24" s="38">
        <f t="shared" si="4"/>
        <v>3030470.7782841977</v>
      </c>
      <c r="M24" s="50">
        <f t="shared" si="5"/>
        <v>225000</v>
      </c>
      <c r="N24" s="23">
        <f t="shared" si="6"/>
        <v>1298.1018865747417</v>
      </c>
      <c r="O24" s="23">
        <f t="shared" si="48"/>
        <v>40565.683955460678</v>
      </c>
      <c r="P24" s="37">
        <f t="shared" si="49"/>
        <v>265565.68395546067</v>
      </c>
      <c r="Q24" s="38">
        <f t="shared" si="50"/>
        <v>3452353.8914209888</v>
      </c>
      <c r="R24" s="23">
        <f t="shared" si="51"/>
        <v>250000</v>
      </c>
      <c r="S24" s="23">
        <f t="shared" si="11"/>
        <v>1442.3354295274908</v>
      </c>
      <c r="T24" s="23">
        <f t="shared" si="52"/>
        <v>45072.98217273409</v>
      </c>
      <c r="U24" s="37">
        <f t="shared" si="53"/>
        <v>295072.9821727341</v>
      </c>
      <c r="V24" s="62">
        <f t="shared" si="54"/>
        <v>3835948.7682455434</v>
      </c>
      <c r="W24" s="23">
        <f t="shared" si="55"/>
        <v>304000</v>
      </c>
      <c r="X24" s="23">
        <f t="shared" si="16"/>
        <v>1753.8798823054287</v>
      </c>
      <c r="Y24" s="23">
        <f t="shared" si="56"/>
        <v>54808.746322044644</v>
      </c>
      <c r="Z24" s="37">
        <f t="shared" si="57"/>
        <v>358808.74632204464</v>
      </c>
      <c r="AA24" s="38">
        <f t="shared" si="58"/>
        <v>4664513.7021865807</v>
      </c>
      <c r="AB24" s="23">
        <f t="shared" si="59"/>
        <v>390000</v>
      </c>
      <c r="AC24" s="23">
        <f t="shared" si="38"/>
        <v>2250.0432700628858</v>
      </c>
      <c r="AD24" s="23">
        <f t="shared" si="60"/>
        <v>70313.852189465179</v>
      </c>
      <c r="AE24" s="37">
        <f t="shared" si="61"/>
        <v>460313.85218946519</v>
      </c>
      <c r="AF24" s="38">
        <f t="shared" si="62"/>
        <v>5984080.0784630477</v>
      </c>
      <c r="AG24" s="23">
        <f t="shared" si="65"/>
        <v>540000</v>
      </c>
      <c r="AH24" s="23">
        <f t="shared" si="26"/>
        <v>3115.4445277793802</v>
      </c>
      <c r="AI24" s="23">
        <f t="shared" si="63"/>
        <v>97357.641493105635</v>
      </c>
      <c r="AJ24" s="37">
        <f t="shared" si="66"/>
        <v>637357.64149310568</v>
      </c>
      <c r="AK24" s="38">
        <f t="shared" si="64"/>
        <v>8285649.3394103739</v>
      </c>
    </row>
    <row r="25" spans="2:37" ht="21">
      <c r="B25" s="172"/>
      <c r="C25" s="173"/>
      <c r="D25" s="173"/>
      <c r="E25" s="173"/>
      <c r="F25" s="174"/>
      <c r="G25" s="27">
        <v>1</v>
      </c>
      <c r="H25" s="50">
        <f>H26+H$5</f>
        <v>220000</v>
      </c>
      <c r="I25" s="23">
        <f>H25/173.33</f>
        <v>1269.255177984192</v>
      </c>
      <c r="J25" s="23">
        <f t="shared" si="2"/>
        <v>7932.8448624011999</v>
      </c>
      <c r="K25" s="37">
        <f t="shared" si="3"/>
        <v>227932.84486240119</v>
      </c>
      <c r="L25" s="38">
        <f t="shared" si="4"/>
        <v>2963126.9832112156</v>
      </c>
      <c r="M25" s="50">
        <f t="shared" si="5"/>
        <v>220000</v>
      </c>
      <c r="N25" s="23">
        <f>M25/173.33</f>
        <v>1269.255177984192</v>
      </c>
      <c r="O25" s="23">
        <f t="shared" si="48"/>
        <v>39664.224312006001</v>
      </c>
      <c r="P25" s="37">
        <f t="shared" si="49"/>
        <v>259664.224312006</v>
      </c>
      <c r="Q25" s="38">
        <f t="shared" si="50"/>
        <v>3375634.9160560779</v>
      </c>
      <c r="R25" s="23">
        <f t="shared" si="51"/>
        <v>245000</v>
      </c>
      <c r="S25" s="23">
        <f>R25/173.33</f>
        <v>1413.488720936941</v>
      </c>
      <c r="T25" s="23">
        <f t="shared" si="52"/>
        <v>44171.522529279406</v>
      </c>
      <c r="U25" s="37">
        <f t="shared" si="53"/>
        <v>289171.52252927941</v>
      </c>
      <c r="V25" s="38">
        <f t="shared" si="54"/>
        <v>3759229.7928806324</v>
      </c>
      <c r="W25" s="23">
        <f t="shared" si="55"/>
        <v>297000</v>
      </c>
      <c r="X25" s="23">
        <f>W25/173.33</f>
        <v>1713.494490278659</v>
      </c>
      <c r="Y25" s="23">
        <f t="shared" si="56"/>
        <v>53546.702821208091</v>
      </c>
      <c r="Z25" s="37">
        <f t="shared" si="57"/>
        <v>350546.70282120811</v>
      </c>
      <c r="AA25" s="38">
        <f t="shared" si="58"/>
        <v>4557107.1366757052</v>
      </c>
      <c r="AB25" s="23">
        <f t="shared" si="59"/>
        <v>375000</v>
      </c>
      <c r="AC25" s="23">
        <f>AB25/173.33</f>
        <v>2163.5031442912364</v>
      </c>
      <c r="AD25" s="23">
        <f t="shared" si="60"/>
        <v>67609.473259101142</v>
      </c>
      <c r="AE25" s="37">
        <f t="shared" si="61"/>
        <v>442609.47325910116</v>
      </c>
      <c r="AF25" s="38">
        <f t="shared" si="62"/>
        <v>5753923.1523683146</v>
      </c>
      <c r="AG25" s="23">
        <f t="shared" si="65"/>
        <v>525000</v>
      </c>
      <c r="AH25" s="23">
        <f>AG25/173.33</f>
        <v>3028.9044020077308</v>
      </c>
      <c r="AI25" s="23">
        <f t="shared" si="63"/>
        <v>94653.262562741584</v>
      </c>
      <c r="AJ25" s="37">
        <f t="shared" si="66"/>
        <v>619653.26256274153</v>
      </c>
      <c r="AK25" s="38">
        <f t="shared" si="64"/>
        <v>8055492.4133156398</v>
      </c>
    </row>
    <row r="26" spans="2:37" s="42" customFormat="1" ht="35.5" customHeight="1">
      <c r="B26" s="149" t="s">
        <v>67</v>
      </c>
      <c r="C26" s="149"/>
      <c r="D26" s="149"/>
      <c r="E26" s="150"/>
      <c r="F26" s="150"/>
      <c r="G26" s="52">
        <v>0</v>
      </c>
      <c r="H26" s="53">
        <v>215000</v>
      </c>
      <c r="I26" s="39">
        <f>H26/173.33</f>
        <v>1240.408469393642</v>
      </c>
      <c r="J26" s="39">
        <f t="shared" si="2"/>
        <v>7752.5529337102626</v>
      </c>
      <c r="K26" s="39">
        <f t="shared" si="3"/>
        <v>222752.55293371025</v>
      </c>
      <c r="L26" s="39">
        <f t="shared" si="4"/>
        <v>2895783.188138233</v>
      </c>
      <c r="M26" s="53">
        <v>215000</v>
      </c>
      <c r="N26" s="39">
        <f>M26/173.33</f>
        <v>1240.408469393642</v>
      </c>
      <c r="O26" s="39">
        <f t="shared" si="48"/>
        <v>38762.76466855131</v>
      </c>
      <c r="P26" s="39">
        <f t="shared" si="49"/>
        <v>253762.7646685513</v>
      </c>
      <c r="Q26" s="39">
        <f t="shared" si="50"/>
        <v>3298915.940691167</v>
      </c>
      <c r="R26" s="39">
        <v>240000</v>
      </c>
      <c r="S26" s="39">
        <f>R26/173.33</f>
        <v>1384.6420123463911</v>
      </c>
      <c r="T26" s="39">
        <f t="shared" si="52"/>
        <v>43270.062885824722</v>
      </c>
      <c r="U26" s="39">
        <f t="shared" si="53"/>
        <v>283270.06288582471</v>
      </c>
      <c r="V26" s="39">
        <f t="shared" si="54"/>
        <v>3682510.8175157211</v>
      </c>
      <c r="W26" s="39">
        <v>290000</v>
      </c>
      <c r="X26" s="39">
        <f>W26/173.33</f>
        <v>1673.1090982518892</v>
      </c>
      <c r="Y26" s="39">
        <f t="shared" si="56"/>
        <v>52284.659320371546</v>
      </c>
      <c r="Z26" s="39">
        <f t="shared" si="57"/>
        <v>342284.65932037157</v>
      </c>
      <c r="AA26" s="39">
        <f t="shared" si="58"/>
        <v>4449700.5711648306</v>
      </c>
      <c r="AB26" s="39">
        <v>360000</v>
      </c>
      <c r="AC26" s="39">
        <f>AB26/173.33</f>
        <v>2076.963018519587</v>
      </c>
      <c r="AD26" s="39">
        <f t="shared" si="60"/>
        <v>64905.094328737097</v>
      </c>
      <c r="AE26" s="39">
        <f t="shared" si="61"/>
        <v>424905.09432873712</v>
      </c>
      <c r="AF26" s="39">
        <f t="shared" si="62"/>
        <v>5523766.2262735823</v>
      </c>
      <c r="AG26" s="39">
        <v>510000</v>
      </c>
      <c r="AH26" s="39">
        <f>AG26/173.33</f>
        <v>2942.3642762360814</v>
      </c>
      <c r="AI26" s="39">
        <f t="shared" si="63"/>
        <v>91948.883632377547</v>
      </c>
      <c r="AJ26" s="39">
        <f t="shared" si="66"/>
        <v>601948.88363237749</v>
      </c>
      <c r="AK26" s="39">
        <f t="shared" si="64"/>
        <v>7825335.4872209076</v>
      </c>
    </row>
    <row r="27" spans="2:37" ht="20">
      <c r="B27" s="165" t="s">
        <v>68</v>
      </c>
      <c r="C27" s="165"/>
      <c r="D27" s="165"/>
      <c r="E27" s="165"/>
      <c r="F27" s="165"/>
      <c r="G27" s="28">
        <v>-1</v>
      </c>
      <c r="H27" s="27"/>
      <c r="I27" s="27"/>
      <c r="J27" s="27"/>
      <c r="K27" s="27"/>
      <c r="L27" s="38">
        <f t="shared" si="4"/>
        <v>0</v>
      </c>
      <c r="M27" s="105">
        <f>M26-M$6</f>
        <v>215000</v>
      </c>
      <c r="N27" s="106" t="s">
        <v>69</v>
      </c>
      <c r="O27" s="106"/>
      <c r="P27" s="107"/>
      <c r="Q27" s="102">
        <f t="shared" si="50"/>
        <v>0</v>
      </c>
      <c r="R27" s="23">
        <f>R26-R$6</f>
        <v>235000</v>
      </c>
      <c r="S27" s="23">
        <f>R27/173.33</f>
        <v>1355.7953037558414</v>
      </c>
      <c r="T27" s="23">
        <f t="shared" ref="T27:T31" si="67">S27*1.25*T$5</f>
        <v>42368.603242370045</v>
      </c>
      <c r="U27" s="37">
        <f t="shared" ref="U27:U31" si="68">R27+T27</f>
        <v>277368.60324237007</v>
      </c>
      <c r="V27" s="38">
        <f t="shared" si="54"/>
        <v>3605791.8421508111</v>
      </c>
      <c r="W27" s="23">
        <f>W26-W$6</f>
        <v>283000</v>
      </c>
      <c r="X27" s="23">
        <f>W27/173.33</f>
        <v>1632.7237062251195</v>
      </c>
      <c r="Y27" s="23">
        <f t="shared" ref="Y27:Y35" si="69">X27*1.25*Y$5</f>
        <v>51022.615819534985</v>
      </c>
      <c r="Z27" s="37">
        <f t="shared" ref="Z27:Z35" si="70">W27+Y27</f>
        <v>334022.61581953499</v>
      </c>
      <c r="AA27" s="38">
        <f t="shared" si="58"/>
        <v>4342294.005653955</v>
      </c>
      <c r="AB27" s="23">
        <f>AB26-AB$6</f>
        <v>345000</v>
      </c>
      <c r="AC27" s="23">
        <f>AB27/173.33</f>
        <v>1990.4228927479373</v>
      </c>
      <c r="AD27" s="23">
        <f t="shared" ref="AD27:AD35" si="71">AC27*1.25*AD$5</f>
        <v>62200.715398373039</v>
      </c>
      <c r="AE27" s="37">
        <f t="shared" ref="AE27:AE35" si="72">AB27+AD27</f>
        <v>407200.71539837302</v>
      </c>
      <c r="AF27" s="38">
        <f t="shared" si="62"/>
        <v>5293609.3001788491</v>
      </c>
      <c r="AG27" s="23">
        <f>AG26-AG$6</f>
        <v>495000</v>
      </c>
      <c r="AH27" s="23">
        <f>AG27/173.33</f>
        <v>2855.824150464432</v>
      </c>
      <c r="AI27" s="23">
        <f t="shared" ref="AI27:AI35" si="73">AH27*1.25*AI$5</f>
        <v>89244.504702013495</v>
      </c>
      <c r="AJ27" s="37">
        <f t="shared" ref="AJ27:AJ35" si="74">AG27+AI27</f>
        <v>584244.50470201345</v>
      </c>
      <c r="AK27" s="38">
        <f t="shared" si="64"/>
        <v>7595178.5611261744</v>
      </c>
    </row>
    <row r="28" spans="2:37" ht="20">
      <c r="B28" s="165"/>
      <c r="C28" s="165"/>
      <c r="D28" s="165"/>
      <c r="E28" s="165"/>
      <c r="F28" s="165"/>
      <c r="G28" s="28">
        <v>-2</v>
      </c>
      <c r="H28" s="27"/>
      <c r="I28" s="27"/>
      <c r="J28" s="27"/>
      <c r="K28" s="27"/>
      <c r="L28" s="38">
        <f t="shared" si="4"/>
        <v>0</v>
      </c>
      <c r="M28" s="105">
        <f>M27-M$6</f>
        <v>215000</v>
      </c>
      <c r="N28" s="106"/>
      <c r="O28" s="106"/>
      <c r="P28" s="107"/>
      <c r="Q28" s="102">
        <f t="shared" ref="Q28:Q35" si="75">P28*Q$5</f>
        <v>0</v>
      </c>
      <c r="R28" s="23">
        <f>R27-R$6</f>
        <v>230000</v>
      </c>
      <c r="S28" s="23">
        <f>R28/173.33</f>
        <v>1326.9485951652916</v>
      </c>
      <c r="T28" s="23">
        <f t="shared" si="67"/>
        <v>41467.143598915362</v>
      </c>
      <c r="U28" s="37">
        <f t="shared" si="68"/>
        <v>271467.14359891537</v>
      </c>
      <c r="V28" s="38">
        <f t="shared" ref="V28:V31" si="76">U28*V$5</f>
        <v>3529072.8667858997</v>
      </c>
      <c r="W28" s="23">
        <f>W27-W$6</f>
        <v>276000</v>
      </c>
      <c r="X28" s="23">
        <f t="shared" ref="X28:X35" si="77">W28/173.33</f>
        <v>1592.33831419835</v>
      </c>
      <c r="Y28" s="23">
        <f t="shared" si="69"/>
        <v>49760.57231869844</v>
      </c>
      <c r="Z28" s="37">
        <f t="shared" si="70"/>
        <v>325760.57231869845</v>
      </c>
      <c r="AA28" s="38">
        <f t="shared" ref="AA28:AA35" si="78">Z28*AA$5</f>
        <v>4234887.4401430795</v>
      </c>
      <c r="AB28" s="23">
        <f>AB27-AB$6</f>
        <v>330000</v>
      </c>
      <c r="AC28" s="23">
        <f t="shared" ref="AC28:AC35" si="79">AB28/173.33</f>
        <v>1903.8827669762879</v>
      </c>
      <c r="AD28" s="23">
        <f t="shared" si="71"/>
        <v>59496.336468008994</v>
      </c>
      <c r="AE28" s="37">
        <f t="shared" si="72"/>
        <v>389496.33646800899</v>
      </c>
      <c r="AF28" s="38">
        <f t="shared" ref="AF28:AF35" si="80">AE28*AF$5</f>
        <v>5063452.3740841169</v>
      </c>
      <c r="AG28" s="23">
        <f>AG27-AG$6</f>
        <v>480000</v>
      </c>
      <c r="AH28" s="23">
        <f t="shared" ref="AH28:AH34" si="81">AG28/173.33</f>
        <v>2769.2840246927822</v>
      </c>
      <c r="AI28" s="23">
        <f t="shared" si="73"/>
        <v>86540.125771649444</v>
      </c>
      <c r="AJ28" s="37">
        <f t="shared" si="74"/>
        <v>566540.12577164941</v>
      </c>
      <c r="AK28" s="38">
        <f t="shared" ref="AK28:AK35" si="82">AJ28*AK$5</f>
        <v>7365021.6350314422</v>
      </c>
    </row>
    <row r="29" spans="2:37" ht="20">
      <c r="B29" s="165"/>
      <c r="C29" s="165"/>
      <c r="D29" s="165"/>
      <c r="E29" s="165"/>
      <c r="F29" s="165"/>
      <c r="G29" s="28">
        <v>-3</v>
      </c>
      <c r="H29" s="27"/>
      <c r="I29" s="27"/>
      <c r="J29" s="27"/>
      <c r="K29" s="27"/>
      <c r="L29" s="38">
        <f t="shared" si="4"/>
        <v>0</v>
      </c>
      <c r="M29" s="105">
        <f t="shared" ref="M29:M35" si="83">M28-M$6</f>
        <v>215000</v>
      </c>
      <c r="N29" s="106"/>
      <c r="O29" s="106"/>
      <c r="P29" s="107"/>
      <c r="Q29" s="102">
        <f t="shared" si="75"/>
        <v>0</v>
      </c>
      <c r="R29" s="23">
        <f t="shared" ref="R29:R31" si="84">R28-R$6</f>
        <v>225000</v>
      </c>
      <c r="S29" s="23">
        <f>R29/173.33</f>
        <v>1298.1018865747417</v>
      </c>
      <c r="T29" s="23">
        <f t="shared" si="67"/>
        <v>40565.683955460678</v>
      </c>
      <c r="U29" s="37">
        <f t="shared" si="68"/>
        <v>265565.68395546067</v>
      </c>
      <c r="V29" s="38">
        <f t="shared" si="76"/>
        <v>3452353.8914209888</v>
      </c>
      <c r="W29" s="23">
        <f t="shared" ref="W29:W35" si="85">W28-W$6</f>
        <v>269000</v>
      </c>
      <c r="X29" s="23">
        <f t="shared" si="77"/>
        <v>1551.9529221715802</v>
      </c>
      <c r="Y29" s="23">
        <f t="shared" si="69"/>
        <v>48498.528817861879</v>
      </c>
      <c r="Z29" s="37">
        <f t="shared" si="70"/>
        <v>317498.52881786186</v>
      </c>
      <c r="AA29" s="38">
        <f t="shared" si="78"/>
        <v>4127480.8746322044</v>
      </c>
      <c r="AB29" s="23">
        <f t="shared" ref="AB29:AB35" si="86">AB28-AB$6</f>
        <v>315000</v>
      </c>
      <c r="AC29" s="23">
        <f t="shared" si="79"/>
        <v>1817.3426412046383</v>
      </c>
      <c r="AD29" s="23">
        <f t="shared" si="71"/>
        <v>56791.95753764495</v>
      </c>
      <c r="AE29" s="37">
        <f t="shared" si="72"/>
        <v>371791.95753764495</v>
      </c>
      <c r="AF29" s="38">
        <f t="shared" si="80"/>
        <v>4833295.4479893846</v>
      </c>
      <c r="AG29" s="23">
        <f t="shared" ref="AG29:AG35" si="87">AG28-AG$6</f>
        <v>465000</v>
      </c>
      <c r="AH29" s="23">
        <f t="shared" si="81"/>
        <v>2682.7438989211328</v>
      </c>
      <c r="AI29" s="23">
        <f t="shared" si="73"/>
        <v>83835.746841285407</v>
      </c>
      <c r="AJ29" s="37">
        <f t="shared" si="74"/>
        <v>548835.74684128538</v>
      </c>
      <c r="AK29" s="38">
        <f t="shared" si="82"/>
        <v>7134864.7089367099</v>
      </c>
    </row>
    <row r="30" spans="2:37" ht="20">
      <c r="B30" s="165"/>
      <c r="C30" s="165"/>
      <c r="D30" s="165"/>
      <c r="E30" s="165"/>
      <c r="F30" s="165"/>
      <c r="G30" s="28">
        <v>-4</v>
      </c>
      <c r="H30" s="27"/>
      <c r="I30" s="27"/>
      <c r="J30" s="27"/>
      <c r="K30" s="27"/>
      <c r="L30" s="38">
        <f t="shared" si="4"/>
        <v>0</v>
      </c>
      <c r="M30" s="105">
        <f t="shared" si="83"/>
        <v>215000</v>
      </c>
      <c r="N30" s="106"/>
      <c r="O30" s="106"/>
      <c r="P30" s="107"/>
      <c r="Q30" s="102">
        <f t="shared" si="75"/>
        <v>0</v>
      </c>
      <c r="R30" s="23">
        <f t="shared" si="84"/>
        <v>220000</v>
      </c>
      <c r="S30" s="23">
        <f t="shared" ref="S30:S31" si="88">R30/173.33</f>
        <v>1269.255177984192</v>
      </c>
      <c r="T30" s="23">
        <f t="shared" si="67"/>
        <v>39664.224312006001</v>
      </c>
      <c r="U30" s="37">
        <f t="shared" si="68"/>
        <v>259664.224312006</v>
      </c>
      <c r="V30" s="38">
        <f t="shared" si="76"/>
        <v>3375634.9160560779</v>
      </c>
      <c r="W30" s="23">
        <f t="shared" si="85"/>
        <v>262000</v>
      </c>
      <c r="X30" s="23">
        <f t="shared" si="77"/>
        <v>1511.5675301448105</v>
      </c>
      <c r="Y30" s="23">
        <f t="shared" si="69"/>
        <v>47236.485317025326</v>
      </c>
      <c r="Z30" s="37">
        <f t="shared" si="70"/>
        <v>309236.48531702533</v>
      </c>
      <c r="AA30" s="38">
        <f t="shared" si="78"/>
        <v>4020074.3091213293</v>
      </c>
      <c r="AB30" s="23">
        <f t="shared" si="86"/>
        <v>300000</v>
      </c>
      <c r="AC30" s="23">
        <f t="shared" si="79"/>
        <v>1730.8025154329889</v>
      </c>
      <c r="AD30" s="23">
        <f t="shared" si="71"/>
        <v>54087.578607280899</v>
      </c>
      <c r="AE30" s="37">
        <f t="shared" si="72"/>
        <v>354087.57860728091</v>
      </c>
      <c r="AF30" s="38">
        <f t="shared" si="80"/>
        <v>4603138.5218946515</v>
      </c>
      <c r="AG30" s="23">
        <f t="shared" si="87"/>
        <v>450000</v>
      </c>
      <c r="AH30" s="23">
        <f t="shared" si="81"/>
        <v>2596.2037731494834</v>
      </c>
      <c r="AI30" s="23">
        <f t="shared" si="73"/>
        <v>81131.367910921355</v>
      </c>
      <c r="AJ30" s="37">
        <f t="shared" si="74"/>
        <v>531131.36791092134</v>
      </c>
      <c r="AK30" s="38">
        <f t="shared" si="82"/>
        <v>6904707.7828419777</v>
      </c>
    </row>
    <row r="31" spans="2:37" ht="20">
      <c r="B31" s="165"/>
      <c r="C31" s="165"/>
      <c r="D31" s="165"/>
      <c r="E31" s="165"/>
      <c r="F31" s="165"/>
      <c r="G31" s="28">
        <v>-5</v>
      </c>
      <c r="H31" s="27"/>
      <c r="I31" s="27"/>
      <c r="J31" s="27"/>
      <c r="K31" s="27"/>
      <c r="L31" s="38">
        <f t="shared" si="4"/>
        <v>0</v>
      </c>
      <c r="M31" s="105">
        <f t="shared" si="83"/>
        <v>215000</v>
      </c>
      <c r="N31" s="106"/>
      <c r="O31" s="106"/>
      <c r="P31" s="107"/>
      <c r="Q31" s="102">
        <f t="shared" si="75"/>
        <v>0</v>
      </c>
      <c r="R31" s="23">
        <f t="shared" si="84"/>
        <v>215000</v>
      </c>
      <c r="S31" s="23">
        <f t="shared" si="88"/>
        <v>1240.408469393642</v>
      </c>
      <c r="T31" s="23">
        <f t="shared" si="67"/>
        <v>38762.76466855131</v>
      </c>
      <c r="U31" s="37">
        <f t="shared" si="68"/>
        <v>253762.7646685513</v>
      </c>
      <c r="V31" s="38">
        <f t="shared" si="76"/>
        <v>3298915.940691167</v>
      </c>
      <c r="W31" s="23">
        <f t="shared" si="85"/>
        <v>255000</v>
      </c>
      <c r="X31" s="23">
        <f t="shared" si="77"/>
        <v>1471.1821381180407</v>
      </c>
      <c r="Y31" s="23">
        <f t="shared" si="69"/>
        <v>45974.441816188773</v>
      </c>
      <c r="Z31" s="37">
        <f t="shared" si="70"/>
        <v>300974.44181618874</v>
      </c>
      <c r="AA31" s="38">
        <f t="shared" si="78"/>
        <v>3912667.7436104538</v>
      </c>
      <c r="AB31" s="23">
        <f t="shared" si="86"/>
        <v>285000</v>
      </c>
      <c r="AC31" s="23">
        <f t="shared" si="79"/>
        <v>1644.2623896613395</v>
      </c>
      <c r="AD31" s="23">
        <f t="shared" si="71"/>
        <v>51383.199676916862</v>
      </c>
      <c r="AE31" s="37">
        <f t="shared" si="72"/>
        <v>336383.19967691688</v>
      </c>
      <c r="AF31" s="38">
        <f t="shared" si="80"/>
        <v>4372981.5957999192</v>
      </c>
      <c r="AG31" s="23">
        <f t="shared" si="87"/>
        <v>435000</v>
      </c>
      <c r="AH31" s="23">
        <f t="shared" si="81"/>
        <v>2509.663647377834</v>
      </c>
      <c r="AI31" s="23">
        <f t="shared" si="73"/>
        <v>78426.988980557318</v>
      </c>
      <c r="AJ31" s="37">
        <f t="shared" si="74"/>
        <v>513426.9889805573</v>
      </c>
      <c r="AK31" s="38">
        <f t="shared" si="82"/>
        <v>6674550.8567472454</v>
      </c>
    </row>
    <row r="32" spans="2:37" ht="20">
      <c r="B32" s="165"/>
      <c r="C32" s="165"/>
      <c r="D32" s="165"/>
      <c r="E32" s="165"/>
      <c r="F32" s="165"/>
      <c r="G32" s="28">
        <v>-6</v>
      </c>
      <c r="H32" s="27"/>
      <c r="I32" s="27"/>
      <c r="J32" s="27"/>
      <c r="K32" s="27"/>
      <c r="L32" s="38">
        <f t="shared" si="4"/>
        <v>0</v>
      </c>
      <c r="M32" s="105">
        <f t="shared" si="83"/>
        <v>215000</v>
      </c>
      <c r="N32" s="106"/>
      <c r="O32" s="106"/>
      <c r="P32" s="107"/>
      <c r="Q32" s="102">
        <f t="shared" si="75"/>
        <v>0</v>
      </c>
      <c r="R32" s="106">
        <v>215000</v>
      </c>
      <c r="S32" s="106">
        <v>1240.408469393642</v>
      </c>
      <c r="T32" s="106">
        <v>38762.76466855131</v>
      </c>
      <c r="U32" s="107">
        <v>253762.7646685513</v>
      </c>
      <c r="V32" s="102">
        <v>3298915.940691167</v>
      </c>
      <c r="W32" s="23">
        <f t="shared" si="85"/>
        <v>248000</v>
      </c>
      <c r="X32" s="23">
        <f t="shared" si="77"/>
        <v>1430.796746091271</v>
      </c>
      <c r="Y32" s="23">
        <f t="shared" si="69"/>
        <v>44712.39831535222</v>
      </c>
      <c r="Z32" s="37">
        <f t="shared" si="70"/>
        <v>292712.39831535221</v>
      </c>
      <c r="AA32" s="38">
        <f t="shared" si="78"/>
        <v>3805261.1780995787</v>
      </c>
      <c r="AB32" s="23">
        <f t="shared" si="86"/>
        <v>270000</v>
      </c>
      <c r="AC32" s="23">
        <f t="shared" si="79"/>
        <v>1557.7222638896901</v>
      </c>
      <c r="AD32" s="23">
        <f t="shared" si="71"/>
        <v>48678.820746552818</v>
      </c>
      <c r="AE32" s="37">
        <f t="shared" si="72"/>
        <v>318678.82074655284</v>
      </c>
      <c r="AF32" s="38">
        <f t="shared" si="80"/>
        <v>4142824.669705187</v>
      </c>
      <c r="AG32" s="23">
        <f t="shared" si="87"/>
        <v>420000</v>
      </c>
      <c r="AH32" s="23">
        <f t="shared" si="81"/>
        <v>2423.1235216061846</v>
      </c>
      <c r="AI32" s="23">
        <f t="shared" si="73"/>
        <v>75722.610050193267</v>
      </c>
      <c r="AJ32" s="37">
        <f t="shared" si="74"/>
        <v>495722.61005019327</v>
      </c>
      <c r="AK32" s="38">
        <f t="shared" si="82"/>
        <v>6444393.9306525122</v>
      </c>
    </row>
    <row r="33" spans="2:37" ht="20">
      <c r="B33" s="165"/>
      <c r="C33" s="165"/>
      <c r="D33" s="165"/>
      <c r="E33" s="165"/>
      <c r="F33" s="165"/>
      <c r="G33" s="28">
        <v>-7</v>
      </c>
      <c r="H33" s="27"/>
      <c r="I33" s="27"/>
      <c r="J33" s="27"/>
      <c r="K33" s="27"/>
      <c r="L33" s="38">
        <f t="shared" si="4"/>
        <v>0</v>
      </c>
      <c r="M33" s="105">
        <f t="shared" si="83"/>
        <v>215000</v>
      </c>
      <c r="N33" s="106"/>
      <c r="O33" s="106"/>
      <c r="P33" s="107"/>
      <c r="Q33" s="102">
        <f t="shared" si="75"/>
        <v>0</v>
      </c>
      <c r="R33" s="106">
        <v>215000</v>
      </c>
      <c r="S33" s="106">
        <v>1240.408469393642</v>
      </c>
      <c r="T33" s="106">
        <v>38762.76466855131</v>
      </c>
      <c r="U33" s="107">
        <v>253762.7646685513</v>
      </c>
      <c r="V33" s="102">
        <v>3298915.940691167</v>
      </c>
      <c r="W33" s="23">
        <f t="shared" si="85"/>
        <v>241000</v>
      </c>
      <c r="X33" s="23">
        <f t="shared" si="77"/>
        <v>1390.4113540645012</v>
      </c>
      <c r="Y33" s="23">
        <f t="shared" si="69"/>
        <v>43450.35481451566</v>
      </c>
      <c r="Z33" s="37">
        <f t="shared" si="70"/>
        <v>284450.35481451568</v>
      </c>
      <c r="AA33" s="38">
        <f t="shared" si="78"/>
        <v>3697854.6125887036</v>
      </c>
      <c r="AB33" s="23">
        <f t="shared" si="86"/>
        <v>255000</v>
      </c>
      <c r="AC33" s="23">
        <f t="shared" si="79"/>
        <v>1471.1821381180407</v>
      </c>
      <c r="AD33" s="23">
        <f t="shared" si="71"/>
        <v>45974.441816188773</v>
      </c>
      <c r="AE33" s="37">
        <f t="shared" si="72"/>
        <v>300974.44181618874</v>
      </c>
      <c r="AF33" s="38">
        <f t="shared" si="80"/>
        <v>3912667.7436104538</v>
      </c>
      <c r="AG33" s="23">
        <f t="shared" si="87"/>
        <v>405000</v>
      </c>
      <c r="AH33" s="23">
        <f t="shared" si="81"/>
        <v>2336.5833958345352</v>
      </c>
      <c r="AI33" s="23">
        <f t="shared" si="73"/>
        <v>73018.23111982923</v>
      </c>
      <c r="AJ33" s="37">
        <f t="shared" si="74"/>
        <v>478018.23111982923</v>
      </c>
      <c r="AK33" s="38">
        <f t="shared" si="82"/>
        <v>6214237.00455778</v>
      </c>
    </row>
    <row r="34" spans="2:37" ht="20">
      <c r="B34" s="165"/>
      <c r="C34" s="165"/>
      <c r="D34" s="165"/>
      <c r="E34" s="165"/>
      <c r="F34" s="165"/>
      <c r="G34" s="28">
        <v>-8</v>
      </c>
      <c r="H34" s="27"/>
      <c r="I34" s="27"/>
      <c r="J34" s="27"/>
      <c r="K34" s="27"/>
      <c r="L34" s="38">
        <f t="shared" si="4"/>
        <v>0</v>
      </c>
      <c r="M34" s="105">
        <f t="shared" si="83"/>
        <v>215000</v>
      </c>
      <c r="N34" s="106"/>
      <c r="O34" s="106"/>
      <c r="P34" s="107"/>
      <c r="Q34" s="102">
        <f t="shared" si="75"/>
        <v>0</v>
      </c>
      <c r="R34" s="106">
        <v>215000</v>
      </c>
      <c r="S34" s="106">
        <v>1240.408469393642</v>
      </c>
      <c r="T34" s="106">
        <v>38762.76466855131</v>
      </c>
      <c r="U34" s="107">
        <v>253762.7646685513</v>
      </c>
      <c r="V34" s="102">
        <v>3298915.940691167</v>
      </c>
      <c r="W34" s="23">
        <f t="shared" si="85"/>
        <v>234000</v>
      </c>
      <c r="X34" s="23">
        <f t="shared" si="77"/>
        <v>1350.0259620377315</v>
      </c>
      <c r="Y34" s="23">
        <f t="shared" si="69"/>
        <v>42188.311313679107</v>
      </c>
      <c r="Z34" s="37">
        <f t="shared" si="70"/>
        <v>276188.31131367909</v>
      </c>
      <c r="AA34" s="38">
        <f t="shared" si="78"/>
        <v>3590448.0470778281</v>
      </c>
      <c r="AB34" s="23">
        <f t="shared" si="86"/>
        <v>240000</v>
      </c>
      <c r="AC34" s="23">
        <f t="shared" si="79"/>
        <v>1384.6420123463911</v>
      </c>
      <c r="AD34" s="23">
        <f t="shared" si="71"/>
        <v>43270.062885824722</v>
      </c>
      <c r="AE34" s="37">
        <f t="shared" si="72"/>
        <v>283270.06288582471</v>
      </c>
      <c r="AF34" s="38">
        <f t="shared" si="80"/>
        <v>3682510.8175157211</v>
      </c>
      <c r="AG34" s="23">
        <f t="shared" si="87"/>
        <v>390000</v>
      </c>
      <c r="AH34" s="23">
        <f t="shared" si="81"/>
        <v>2250.0432700628858</v>
      </c>
      <c r="AI34" s="23">
        <f t="shared" si="73"/>
        <v>70313.852189465179</v>
      </c>
      <c r="AJ34" s="37">
        <f t="shared" si="74"/>
        <v>460313.85218946519</v>
      </c>
      <c r="AK34" s="38">
        <f t="shared" si="82"/>
        <v>5984080.0784630477</v>
      </c>
    </row>
    <row r="35" spans="2:37" ht="20">
      <c r="B35" s="165"/>
      <c r="C35" s="165"/>
      <c r="D35" s="165"/>
      <c r="E35" s="165"/>
      <c r="F35" s="165"/>
      <c r="G35" s="28">
        <v>-9</v>
      </c>
      <c r="H35" s="27"/>
      <c r="I35" s="27"/>
      <c r="J35" s="27"/>
      <c r="K35" s="27"/>
      <c r="L35" s="38">
        <f t="shared" si="4"/>
        <v>0</v>
      </c>
      <c r="M35" s="105">
        <f t="shared" si="83"/>
        <v>215000</v>
      </c>
      <c r="N35" s="106"/>
      <c r="O35" s="106"/>
      <c r="P35" s="107"/>
      <c r="Q35" s="102">
        <f t="shared" si="75"/>
        <v>0</v>
      </c>
      <c r="R35" s="106">
        <v>215000</v>
      </c>
      <c r="S35" s="106">
        <v>1240.408469393642</v>
      </c>
      <c r="T35" s="106">
        <v>38762.76466855131</v>
      </c>
      <c r="U35" s="107">
        <v>253762.7646685513</v>
      </c>
      <c r="V35" s="102">
        <v>3298915.940691167</v>
      </c>
      <c r="W35" s="23">
        <f t="shared" si="85"/>
        <v>227000</v>
      </c>
      <c r="X35" s="23">
        <f t="shared" si="77"/>
        <v>1309.6405700109617</v>
      </c>
      <c r="Y35" s="23">
        <f t="shared" si="69"/>
        <v>40926.267812842554</v>
      </c>
      <c r="Z35" s="37">
        <f t="shared" si="70"/>
        <v>267926.26781284256</v>
      </c>
      <c r="AA35" s="38">
        <f t="shared" si="78"/>
        <v>3483041.4815669535</v>
      </c>
      <c r="AB35" s="23">
        <f t="shared" si="86"/>
        <v>225000</v>
      </c>
      <c r="AC35" s="23">
        <f t="shared" si="79"/>
        <v>1298.1018865747417</v>
      </c>
      <c r="AD35" s="23">
        <f t="shared" si="71"/>
        <v>40565.683955460678</v>
      </c>
      <c r="AE35" s="37">
        <f t="shared" si="72"/>
        <v>265565.68395546067</v>
      </c>
      <c r="AF35" s="38">
        <f t="shared" si="80"/>
        <v>3452353.8914209888</v>
      </c>
      <c r="AG35" s="23">
        <f t="shared" si="87"/>
        <v>375000</v>
      </c>
      <c r="AH35" s="23">
        <f>AG35/173.33</f>
        <v>2163.5031442912364</v>
      </c>
      <c r="AI35" s="23">
        <f t="shared" si="73"/>
        <v>67609.473259101142</v>
      </c>
      <c r="AJ35" s="37">
        <f t="shared" si="74"/>
        <v>442609.47325910116</v>
      </c>
      <c r="AK35" s="38">
        <f t="shared" si="82"/>
        <v>5753923.1523683146</v>
      </c>
    </row>
  </sheetData>
  <mergeCells count="32">
    <mergeCell ref="AK5:AK6"/>
    <mergeCell ref="B27:F35"/>
    <mergeCell ref="B7:F25"/>
    <mergeCell ref="AC5:AC6"/>
    <mergeCell ref="AE5:AE6"/>
    <mergeCell ref="AF5:AF6"/>
    <mergeCell ref="AH5:AH6"/>
    <mergeCell ref="AJ5:AJ6"/>
    <mergeCell ref="U5:U6"/>
    <mergeCell ref="V5:V6"/>
    <mergeCell ref="X5:X6"/>
    <mergeCell ref="Z5:Z6"/>
    <mergeCell ref="AA5:AA6"/>
    <mergeCell ref="L5:L6"/>
    <mergeCell ref="N5:N6"/>
    <mergeCell ref="P5:P6"/>
    <mergeCell ref="B26:F26"/>
    <mergeCell ref="I5:I6"/>
    <mergeCell ref="B2:F2"/>
    <mergeCell ref="H2:AK2"/>
    <mergeCell ref="B3:F3"/>
    <mergeCell ref="H3:K3"/>
    <mergeCell ref="M3:Q3"/>
    <mergeCell ref="R3:V3"/>
    <mergeCell ref="W3:AA3"/>
    <mergeCell ref="AB3:AF3"/>
    <mergeCell ref="AG3:AK3"/>
    <mergeCell ref="Q5:Q6"/>
    <mergeCell ref="S5:S6"/>
    <mergeCell ref="B4:F4"/>
    <mergeCell ref="B5:F5"/>
    <mergeCell ref="B6:F6"/>
  </mergeCells>
  <phoneticPr fontId="22"/>
  <pageMargins left="0.7" right="0.7" top="0.75" bottom="0.75" header="0.3" footer="0.3"/>
  <pageSetup paperSize="8" scale="5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T31"/>
  <sheetViews>
    <sheetView view="pageBreakPreview" topLeftCell="AI4" zoomScale="70" zoomScaleNormal="80" workbookViewId="0">
      <selection activeCell="AP21" sqref="AP21"/>
    </sheetView>
  </sheetViews>
  <sheetFormatPr defaultColWidth="8.83203125" defaultRowHeight="18"/>
  <cols>
    <col min="8" max="8" width="11.83203125" customWidth="1"/>
    <col min="9" max="10" width="10.5" customWidth="1"/>
    <col min="11" max="11" width="13.25" style="1" customWidth="1"/>
    <col min="12" max="12" width="11" customWidth="1"/>
    <col min="14" max="14" width="9.83203125" customWidth="1"/>
    <col min="15" max="15" width="11" style="1" customWidth="1"/>
    <col min="16" max="16" width="15" customWidth="1"/>
    <col min="17" max="17" width="11.83203125" customWidth="1"/>
    <col min="18" max="18" width="12.33203125" customWidth="1"/>
    <col min="19" max="19" width="11.83203125" customWidth="1"/>
    <col min="20" max="20" width="12.33203125" style="1" customWidth="1"/>
    <col min="21" max="21" width="15" customWidth="1"/>
    <col min="22" max="22" width="11.5" customWidth="1"/>
    <col min="23" max="23" width="12" customWidth="1"/>
    <col min="24" max="24" width="12.1640625" customWidth="1"/>
    <col min="25" max="25" width="14.9140625" style="1" customWidth="1"/>
    <col min="26" max="26" width="15" customWidth="1"/>
    <col min="27" max="27" width="13.1640625" customWidth="1"/>
    <col min="29" max="29" width="12.6640625" customWidth="1"/>
    <col min="30" max="30" width="12.6640625" style="1" customWidth="1"/>
    <col min="31" max="31" width="15" customWidth="1"/>
    <col min="32" max="33" width="12.6640625" customWidth="1"/>
    <col min="34" max="34" width="12.5" customWidth="1"/>
    <col min="35" max="35" width="12.5" style="1" customWidth="1"/>
    <col min="36" max="36" width="15" customWidth="1"/>
    <col min="37" max="39" width="12.5" customWidth="1"/>
    <col min="40" max="40" width="12.5" style="1" customWidth="1"/>
    <col min="41" max="41" width="15" customWidth="1"/>
    <col min="42" max="44" width="12.5" customWidth="1"/>
    <col min="45" max="45" width="12.5" style="1" customWidth="1"/>
    <col min="46" max="46" width="15" customWidth="1"/>
    <col min="47" max="47" width="12.5" customWidth="1"/>
  </cols>
  <sheetData>
    <row r="1" spans="2:46" ht="56" customHeight="1" thickBot="1">
      <c r="B1" s="12" t="s">
        <v>26</v>
      </c>
      <c r="AT1" s="120"/>
    </row>
    <row r="2" spans="2:46" ht="20.5" thickBot="1">
      <c r="B2" s="176"/>
      <c r="C2" s="177"/>
      <c r="D2" s="177"/>
      <c r="E2" s="177"/>
      <c r="F2" s="177"/>
      <c r="G2" s="13"/>
      <c r="H2" s="178" t="s">
        <v>53</v>
      </c>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19"/>
      <c r="AQ2" s="119"/>
      <c r="AR2" s="119"/>
      <c r="AS2" s="119"/>
      <c r="AT2" s="121"/>
    </row>
    <row r="3" spans="2:46" ht="20">
      <c r="B3" s="176"/>
      <c r="C3" s="177"/>
      <c r="D3" s="177"/>
      <c r="E3" s="177"/>
      <c r="F3" s="177"/>
      <c r="G3" s="14"/>
      <c r="H3" s="15" t="s">
        <v>51</v>
      </c>
      <c r="I3" s="29"/>
      <c r="J3" s="29"/>
      <c r="K3" s="30"/>
      <c r="L3" s="31" t="s">
        <v>47</v>
      </c>
      <c r="M3" s="31"/>
      <c r="N3" s="31"/>
      <c r="O3" s="31"/>
      <c r="P3" s="31"/>
      <c r="Q3" s="31" t="s">
        <v>44</v>
      </c>
      <c r="R3" s="31"/>
      <c r="S3" s="31"/>
      <c r="T3" s="31"/>
      <c r="U3" s="31"/>
      <c r="V3" s="31" t="s">
        <v>38</v>
      </c>
      <c r="W3" s="31"/>
      <c r="X3" s="31"/>
      <c r="Y3" s="31"/>
      <c r="Z3" s="31"/>
      <c r="AA3" s="31" t="s">
        <v>34</v>
      </c>
      <c r="AB3" s="31"/>
      <c r="AC3" s="31"/>
      <c r="AD3" s="31"/>
      <c r="AE3" s="31"/>
      <c r="AF3" s="31" t="s">
        <v>32</v>
      </c>
      <c r="AG3" s="31"/>
      <c r="AH3" s="31"/>
      <c r="AI3" s="31"/>
      <c r="AJ3" s="31"/>
      <c r="AK3" s="31" t="s">
        <v>28</v>
      </c>
      <c r="AL3" s="31"/>
      <c r="AM3" s="31"/>
      <c r="AN3" s="31"/>
      <c r="AO3" s="31"/>
      <c r="AP3" s="31" t="s">
        <v>168</v>
      </c>
      <c r="AQ3" s="31"/>
      <c r="AR3" s="31"/>
      <c r="AS3" s="31"/>
      <c r="AT3" s="31"/>
    </row>
    <row r="4" spans="2:46" ht="20.5" thickBot="1">
      <c r="B4" s="180" t="s">
        <v>20</v>
      </c>
      <c r="C4" s="181"/>
      <c r="D4" s="181"/>
      <c r="E4" s="181"/>
      <c r="F4" s="181"/>
      <c r="G4" s="16"/>
      <c r="H4" s="17" t="s">
        <v>54</v>
      </c>
      <c r="I4" s="17" t="s">
        <v>55</v>
      </c>
      <c r="J4" s="17" t="s">
        <v>56</v>
      </c>
      <c r="K4" s="32" t="s">
        <v>57</v>
      </c>
      <c r="L4" s="33" t="s">
        <v>70</v>
      </c>
      <c r="M4" s="33" t="s">
        <v>55</v>
      </c>
      <c r="N4" s="33" t="s">
        <v>56</v>
      </c>
      <c r="O4" s="34" t="s">
        <v>57</v>
      </c>
      <c r="P4" s="33" t="s">
        <v>58</v>
      </c>
      <c r="Q4" s="33" t="s">
        <v>71</v>
      </c>
      <c r="R4" s="33" t="s">
        <v>55</v>
      </c>
      <c r="S4" s="33" t="s">
        <v>56</v>
      </c>
      <c r="T4" s="34" t="s">
        <v>57</v>
      </c>
      <c r="U4" s="33" t="s">
        <v>58</v>
      </c>
      <c r="V4" s="33" t="s">
        <v>72</v>
      </c>
      <c r="W4" s="33" t="s">
        <v>55</v>
      </c>
      <c r="X4" s="33" t="s">
        <v>56</v>
      </c>
      <c r="Y4" s="34" t="s">
        <v>57</v>
      </c>
      <c r="Z4" s="33" t="s">
        <v>58</v>
      </c>
      <c r="AA4" s="33" t="s">
        <v>73</v>
      </c>
      <c r="AB4" s="33" t="s">
        <v>55</v>
      </c>
      <c r="AC4" s="33" t="s">
        <v>56</v>
      </c>
      <c r="AD4" s="34" t="s">
        <v>57</v>
      </c>
      <c r="AE4" s="33" t="s">
        <v>58</v>
      </c>
      <c r="AF4" s="33" t="s">
        <v>74</v>
      </c>
      <c r="AG4" s="33" t="s">
        <v>55</v>
      </c>
      <c r="AH4" s="33" t="s">
        <v>56</v>
      </c>
      <c r="AI4" s="34" t="s">
        <v>57</v>
      </c>
      <c r="AJ4" s="33" t="s">
        <v>58</v>
      </c>
      <c r="AK4" s="33" t="s">
        <v>75</v>
      </c>
      <c r="AL4" s="33" t="s">
        <v>55</v>
      </c>
      <c r="AM4" s="33" t="s">
        <v>56</v>
      </c>
      <c r="AN4" s="34" t="s">
        <v>57</v>
      </c>
      <c r="AO4" s="33" t="s">
        <v>58</v>
      </c>
      <c r="AP4" s="33" t="s">
        <v>176</v>
      </c>
      <c r="AQ4" s="33" t="s">
        <v>55</v>
      </c>
      <c r="AR4" s="33" t="s">
        <v>56</v>
      </c>
      <c r="AS4" s="34" t="s">
        <v>57</v>
      </c>
      <c r="AT4" s="33" t="s">
        <v>58</v>
      </c>
    </row>
    <row r="5" spans="2:46" ht="20.5" thickBot="1">
      <c r="B5" s="182" t="s">
        <v>64</v>
      </c>
      <c r="C5" s="183"/>
      <c r="D5" s="183"/>
      <c r="E5" s="183"/>
      <c r="F5" s="183"/>
      <c r="G5" s="18"/>
      <c r="H5" s="19">
        <v>2000</v>
      </c>
      <c r="I5" s="161"/>
      <c r="J5" s="35">
        <v>5</v>
      </c>
      <c r="K5" s="188"/>
      <c r="L5" s="19">
        <v>2000</v>
      </c>
      <c r="M5" s="161"/>
      <c r="N5" s="35">
        <v>10</v>
      </c>
      <c r="O5" s="175"/>
      <c r="P5" s="159">
        <v>13</v>
      </c>
      <c r="Q5" s="19">
        <v>2000</v>
      </c>
      <c r="R5" s="161"/>
      <c r="S5" s="35">
        <v>10</v>
      </c>
      <c r="T5" s="175"/>
      <c r="U5" s="159">
        <v>13</v>
      </c>
      <c r="V5" s="19">
        <v>3000</v>
      </c>
      <c r="W5" s="161"/>
      <c r="X5" s="35">
        <v>10</v>
      </c>
      <c r="Y5" s="175"/>
      <c r="Z5" s="159">
        <v>13</v>
      </c>
      <c r="AA5" s="19">
        <v>5000</v>
      </c>
      <c r="AB5" s="161"/>
      <c r="AC5" s="35">
        <v>10</v>
      </c>
      <c r="AD5" s="175"/>
      <c r="AE5" s="159">
        <v>13</v>
      </c>
      <c r="AF5" s="19">
        <v>7000</v>
      </c>
      <c r="AG5" s="161"/>
      <c r="AH5" s="35">
        <v>10</v>
      </c>
      <c r="AI5" s="175"/>
      <c r="AJ5" s="159">
        <v>13</v>
      </c>
      <c r="AK5" s="19">
        <v>10000</v>
      </c>
      <c r="AL5" s="161"/>
      <c r="AM5" s="35">
        <v>10</v>
      </c>
      <c r="AN5" s="175"/>
      <c r="AO5" s="159">
        <v>13</v>
      </c>
      <c r="AP5" s="19">
        <v>15000</v>
      </c>
      <c r="AQ5" s="161"/>
      <c r="AR5" s="35">
        <v>0</v>
      </c>
      <c r="AS5" s="175"/>
      <c r="AT5" s="159">
        <v>13</v>
      </c>
    </row>
    <row r="6" spans="2:46" ht="20.5" thickBot="1">
      <c r="B6" s="184" t="s">
        <v>65</v>
      </c>
      <c r="C6" s="185"/>
      <c r="D6" s="185"/>
      <c r="E6" s="185"/>
      <c r="F6" s="185"/>
      <c r="G6" s="20"/>
      <c r="H6" s="21">
        <v>0</v>
      </c>
      <c r="I6" s="161"/>
      <c r="J6" s="35"/>
      <c r="K6" s="188"/>
      <c r="L6" s="21">
        <v>0</v>
      </c>
      <c r="M6" s="161"/>
      <c r="N6" s="35"/>
      <c r="O6" s="175"/>
      <c r="P6" s="160"/>
      <c r="Q6" s="21">
        <v>2000</v>
      </c>
      <c r="R6" s="161"/>
      <c r="S6" s="35"/>
      <c r="T6" s="175"/>
      <c r="U6" s="160"/>
      <c r="V6" s="21">
        <v>3000</v>
      </c>
      <c r="W6" s="161"/>
      <c r="X6" s="35"/>
      <c r="Y6" s="175"/>
      <c r="Z6" s="160"/>
      <c r="AA6" s="21">
        <v>5000</v>
      </c>
      <c r="AB6" s="161"/>
      <c r="AC6" s="35"/>
      <c r="AD6" s="175"/>
      <c r="AE6" s="160"/>
      <c r="AF6" s="21">
        <v>7000</v>
      </c>
      <c r="AG6" s="161"/>
      <c r="AH6" s="35"/>
      <c r="AI6" s="175"/>
      <c r="AJ6" s="160"/>
      <c r="AK6" s="21">
        <v>10000</v>
      </c>
      <c r="AL6" s="161"/>
      <c r="AM6" s="35"/>
      <c r="AN6" s="175"/>
      <c r="AO6" s="160"/>
      <c r="AP6" s="21">
        <v>15000</v>
      </c>
      <c r="AQ6" s="161"/>
      <c r="AR6" s="35"/>
      <c r="AS6" s="175"/>
      <c r="AT6" s="160"/>
    </row>
    <row r="7" spans="2:46" s="11" customFormat="1" ht="20.5" thickBot="1">
      <c r="B7" s="189" t="s">
        <v>66</v>
      </c>
      <c r="C7" s="190"/>
      <c r="D7" s="190"/>
      <c r="E7" s="190"/>
      <c r="F7" s="190"/>
      <c r="G7" s="22">
        <v>15</v>
      </c>
      <c r="H7" s="23">
        <f t="shared" ref="H7:H21" si="0">H8+H$5</f>
        <v>245000</v>
      </c>
      <c r="I7" s="23">
        <f t="shared" ref="I7:I20" si="1">H7/173.33</f>
        <v>1413.488720936941</v>
      </c>
      <c r="J7" s="23">
        <f t="shared" ref="J7:J22" si="2">I7*1.25*J$5</f>
        <v>8834.3045058558819</v>
      </c>
      <c r="K7" s="36">
        <f t="shared" ref="K7:K22" si="3">H7+J7</f>
        <v>253834.30450585589</v>
      </c>
      <c r="L7" s="23">
        <f t="shared" ref="L7:L21" si="4">L8+L$5</f>
        <v>245000</v>
      </c>
      <c r="M7" s="23">
        <f t="shared" ref="M7:M20" si="5">L7/173.33</f>
        <v>1413.488720936941</v>
      </c>
      <c r="N7" s="23">
        <f t="shared" ref="N7:N22" si="6">M7*1.25*N$5</f>
        <v>17668.609011711764</v>
      </c>
      <c r="O7" s="37">
        <f t="shared" ref="O7:O22" si="7">L7+N7</f>
        <v>262668.60901171179</v>
      </c>
      <c r="P7" s="38">
        <f t="shared" ref="P7:P22" si="8">O7*P$5</f>
        <v>3414691.917152253</v>
      </c>
      <c r="Q7" s="23">
        <f t="shared" ref="Q7:Q21" si="9">Q8+Q$5</f>
        <v>260000</v>
      </c>
      <c r="R7" s="23">
        <f t="shared" ref="R7:R20" si="10">Q7/173.33</f>
        <v>1500.0288467085904</v>
      </c>
      <c r="S7" s="23">
        <f t="shared" ref="S7:S23" si="11">R7*1.25*S$5</f>
        <v>18750.360583857379</v>
      </c>
      <c r="T7" s="37">
        <f t="shared" ref="T7:T22" si="12">Q7+S7</f>
        <v>278750.3605838574</v>
      </c>
      <c r="U7" s="38">
        <f t="shared" ref="U7:U22" si="13">T7*U$5</f>
        <v>3623754.6875901464</v>
      </c>
      <c r="V7" s="23">
        <f t="shared" ref="V7:V21" si="14">V8+V$5</f>
        <v>295000</v>
      </c>
      <c r="W7" s="23">
        <f t="shared" ref="W7:W20" si="15">V7/173.33</f>
        <v>1701.9558068424392</v>
      </c>
      <c r="X7" s="23">
        <f t="shared" ref="X7:X23" si="16">W7*1.25*X$5</f>
        <v>21274.447585530488</v>
      </c>
      <c r="Y7" s="37">
        <f t="shared" ref="Y7:Y22" si="17">V7+X7</f>
        <v>316274.44758553046</v>
      </c>
      <c r="Z7" s="38">
        <f t="shared" ref="Z7:Z22" si="18">Y7*Z$5</f>
        <v>4111567.8186118961</v>
      </c>
      <c r="AA7" s="23">
        <f t="shared" ref="AA7:AA21" si="19">AA8+AA$5</f>
        <v>360000</v>
      </c>
      <c r="AB7" s="23">
        <f t="shared" ref="AB7:AB20" si="20">AA7/173.33</f>
        <v>2076.963018519587</v>
      </c>
      <c r="AC7" s="23">
        <f t="shared" ref="AC7:AC23" si="21">AB7*1.25*AC$5</f>
        <v>25962.037731494838</v>
      </c>
      <c r="AD7" s="37">
        <f t="shared" ref="AD7:AD22" si="22">AA7+AC7</f>
        <v>385962.03773149481</v>
      </c>
      <c r="AE7" s="38">
        <f t="shared" ref="AE7:AE22" si="23">AD7*AE$5</f>
        <v>5017506.4905094327</v>
      </c>
      <c r="AF7" s="23">
        <f t="shared" ref="AF7:AF21" si="24">AF8+AF$5</f>
        <v>465000</v>
      </c>
      <c r="AG7" s="23">
        <f t="shared" ref="AG7:AG20" si="25">AF7/173.33</f>
        <v>2682.7438989211328</v>
      </c>
      <c r="AH7" s="23">
        <f t="shared" ref="AH7:AH23" si="26">AG7*1.25*AH$5</f>
        <v>33534.29873651416</v>
      </c>
      <c r="AI7" s="37">
        <f t="shared" ref="AI7:AI22" si="27">AF7+AH7</f>
        <v>498534.29873651417</v>
      </c>
      <c r="AJ7" s="38">
        <f t="shared" ref="AJ7:AJ22" si="28">AI7*AJ$5</f>
        <v>6480945.8835746842</v>
      </c>
      <c r="AK7" s="23">
        <f t="shared" ref="AK7:AK21" si="29">AK8+AK$5</f>
        <v>615000</v>
      </c>
      <c r="AL7" s="23">
        <f t="shared" ref="AL7:AL20" si="30">AK7/173.33</f>
        <v>3548.1451566376272</v>
      </c>
      <c r="AM7" s="23">
        <f t="shared" ref="AM7:AM23" si="31">AL7*1.25*AM$5</f>
        <v>44351.814457970337</v>
      </c>
      <c r="AN7" s="37">
        <f t="shared" ref="AN7:AN22" si="32">AK7+AM7</f>
        <v>659351.81445797032</v>
      </c>
      <c r="AO7" s="38">
        <f t="shared" ref="AO7:AO22" si="33">AN7*AO$5</f>
        <v>8571573.5879536141</v>
      </c>
      <c r="AP7" s="23">
        <f t="shared" ref="AP7:AP21" si="34">AP8+AP$5</f>
        <v>905000</v>
      </c>
      <c r="AQ7" s="23">
        <f t="shared" ref="AQ7:AQ20" si="35">AP7/173.33</f>
        <v>5221.2542548895171</v>
      </c>
      <c r="AR7" s="23">
        <f t="shared" ref="AR7:AR31" si="36">AQ7*1.25*AR$5</f>
        <v>0</v>
      </c>
      <c r="AS7" s="37">
        <f t="shared" ref="AS7:AS31" si="37">AP7+AR7</f>
        <v>905000</v>
      </c>
      <c r="AT7" s="38">
        <f t="shared" ref="AT7:AT31" si="38">AS7*AT$5</f>
        <v>11765000</v>
      </c>
    </row>
    <row r="8" spans="2:46" s="11" customFormat="1" ht="20.5" thickBot="1">
      <c r="B8" s="169"/>
      <c r="C8" s="170"/>
      <c r="D8" s="170"/>
      <c r="E8" s="170"/>
      <c r="F8" s="170"/>
      <c r="G8" s="22">
        <v>14</v>
      </c>
      <c r="H8" s="23">
        <f t="shared" si="0"/>
        <v>243000</v>
      </c>
      <c r="I8" s="23">
        <f t="shared" si="1"/>
        <v>1401.950037500721</v>
      </c>
      <c r="J8" s="23">
        <f t="shared" si="2"/>
        <v>8762.1877343795059</v>
      </c>
      <c r="K8" s="36">
        <f t="shared" si="3"/>
        <v>251762.18773437949</v>
      </c>
      <c r="L8" s="23">
        <f t="shared" si="4"/>
        <v>243000</v>
      </c>
      <c r="M8" s="23">
        <f t="shared" si="5"/>
        <v>1401.950037500721</v>
      </c>
      <c r="N8" s="23">
        <f t="shared" si="6"/>
        <v>17524.375468759012</v>
      </c>
      <c r="O8" s="37">
        <f t="shared" si="7"/>
        <v>260524.37546875901</v>
      </c>
      <c r="P8" s="38">
        <f t="shared" si="8"/>
        <v>3386816.8810938671</v>
      </c>
      <c r="Q8" s="23">
        <f t="shared" si="9"/>
        <v>258000</v>
      </c>
      <c r="R8" s="23">
        <f t="shared" si="10"/>
        <v>1488.4901632723704</v>
      </c>
      <c r="S8" s="23">
        <f t="shared" si="11"/>
        <v>18606.12704090463</v>
      </c>
      <c r="T8" s="37">
        <f t="shared" si="12"/>
        <v>276606.12704090466</v>
      </c>
      <c r="U8" s="38">
        <f t="shared" si="13"/>
        <v>3595879.6515317606</v>
      </c>
      <c r="V8" s="23">
        <f t="shared" si="14"/>
        <v>292000</v>
      </c>
      <c r="W8" s="23">
        <f t="shared" si="15"/>
        <v>1684.6477816881093</v>
      </c>
      <c r="X8" s="23">
        <f t="shared" si="16"/>
        <v>21058.097271101364</v>
      </c>
      <c r="Y8" s="37">
        <f t="shared" si="17"/>
        <v>313058.09727110137</v>
      </c>
      <c r="Z8" s="38">
        <f t="shared" si="18"/>
        <v>4069755.2645243178</v>
      </c>
      <c r="AA8" s="23">
        <f t="shared" si="19"/>
        <v>355000</v>
      </c>
      <c r="AB8" s="23">
        <f t="shared" si="20"/>
        <v>2048.116309929037</v>
      </c>
      <c r="AC8" s="23">
        <f t="shared" si="21"/>
        <v>25601.453874112962</v>
      </c>
      <c r="AD8" s="37">
        <f t="shared" si="22"/>
        <v>380601.45387411298</v>
      </c>
      <c r="AE8" s="38">
        <f t="shared" si="23"/>
        <v>4947818.9003634686</v>
      </c>
      <c r="AF8" s="23">
        <f t="shared" si="24"/>
        <v>458000</v>
      </c>
      <c r="AG8" s="23">
        <f t="shared" si="25"/>
        <v>2642.358506894363</v>
      </c>
      <c r="AH8" s="23">
        <f t="shared" si="26"/>
        <v>33029.481336179539</v>
      </c>
      <c r="AI8" s="37">
        <f t="shared" si="27"/>
        <v>491029.48133617954</v>
      </c>
      <c r="AJ8" s="38">
        <f t="shared" si="28"/>
        <v>6383383.2573703341</v>
      </c>
      <c r="AK8" s="23">
        <f t="shared" si="29"/>
        <v>605000</v>
      </c>
      <c r="AL8" s="23">
        <f t="shared" si="30"/>
        <v>3490.4517394565278</v>
      </c>
      <c r="AM8" s="23">
        <f t="shared" si="31"/>
        <v>43630.646743206598</v>
      </c>
      <c r="AN8" s="37">
        <f t="shared" si="32"/>
        <v>648630.64674320654</v>
      </c>
      <c r="AO8" s="38">
        <f t="shared" si="33"/>
        <v>8432198.4076616857</v>
      </c>
      <c r="AP8" s="23">
        <f t="shared" si="34"/>
        <v>890000</v>
      </c>
      <c r="AQ8" s="23">
        <f t="shared" si="35"/>
        <v>5134.7141291178668</v>
      </c>
      <c r="AR8" s="23">
        <f t="shared" si="36"/>
        <v>0</v>
      </c>
      <c r="AS8" s="37">
        <f t="shared" si="37"/>
        <v>890000</v>
      </c>
      <c r="AT8" s="38">
        <f t="shared" si="38"/>
        <v>11570000</v>
      </c>
    </row>
    <row r="9" spans="2:46" s="11" customFormat="1" ht="20.5" thickBot="1">
      <c r="B9" s="169"/>
      <c r="C9" s="170"/>
      <c r="D9" s="170"/>
      <c r="E9" s="170"/>
      <c r="F9" s="170"/>
      <c r="G9" s="22">
        <v>13</v>
      </c>
      <c r="H9" s="23">
        <f t="shared" si="0"/>
        <v>241000</v>
      </c>
      <c r="I9" s="23">
        <f t="shared" si="1"/>
        <v>1390.4113540645012</v>
      </c>
      <c r="J9" s="23">
        <f t="shared" si="2"/>
        <v>8690.0709629031335</v>
      </c>
      <c r="K9" s="36">
        <f t="shared" si="3"/>
        <v>249690.07096290315</v>
      </c>
      <c r="L9" s="23">
        <f t="shared" si="4"/>
        <v>241000</v>
      </c>
      <c r="M9" s="23">
        <f t="shared" si="5"/>
        <v>1390.4113540645012</v>
      </c>
      <c r="N9" s="23">
        <f t="shared" si="6"/>
        <v>17380.141925806267</v>
      </c>
      <c r="O9" s="37">
        <f t="shared" si="7"/>
        <v>258380.14192580627</v>
      </c>
      <c r="P9" s="38">
        <f t="shared" si="8"/>
        <v>3358941.8450354813</v>
      </c>
      <c r="Q9" s="23">
        <f t="shared" si="9"/>
        <v>256000</v>
      </c>
      <c r="R9" s="23">
        <f t="shared" si="10"/>
        <v>1476.9514798361506</v>
      </c>
      <c r="S9" s="23">
        <f t="shared" si="11"/>
        <v>18461.893497951882</v>
      </c>
      <c r="T9" s="37">
        <f t="shared" si="12"/>
        <v>274461.89349795191</v>
      </c>
      <c r="U9" s="38">
        <f t="shared" si="13"/>
        <v>3568004.6154733747</v>
      </c>
      <c r="V9" s="23">
        <f t="shared" si="14"/>
        <v>289000</v>
      </c>
      <c r="W9" s="23">
        <f t="shared" si="15"/>
        <v>1667.3397565337793</v>
      </c>
      <c r="X9" s="23">
        <f t="shared" si="16"/>
        <v>20841.746956672243</v>
      </c>
      <c r="Y9" s="37">
        <f t="shared" si="17"/>
        <v>309841.74695667223</v>
      </c>
      <c r="Z9" s="38">
        <f t="shared" si="18"/>
        <v>4027942.710436739</v>
      </c>
      <c r="AA9" s="23">
        <f t="shared" si="19"/>
        <v>350000</v>
      </c>
      <c r="AB9" s="23">
        <f t="shared" si="20"/>
        <v>2019.2696013384871</v>
      </c>
      <c r="AC9" s="23">
        <f t="shared" si="21"/>
        <v>25240.870016731089</v>
      </c>
      <c r="AD9" s="37">
        <f t="shared" si="22"/>
        <v>375240.87001673109</v>
      </c>
      <c r="AE9" s="38">
        <f t="shared" si="23"/>
        <v>4878131.3102175044</v>
      </c>
      <c r="AF9" s="23">
        <f t="shared" si="24"/>
        <v>451000</v>
      </c>
      <c r="AG9" s="23">
        <f t="shared" si="25"/>
        <v>2601.9731148675933</v>
      </c>
      <c r="AH9" s="23">
        <f t="shared" si="26"/>
        <v>32524.663935844914</v>
      </c>
      <c r="AI9" s="37">
        <f t="shared" si="27"/>
        <v>483524.6639358449</v>
      </c>
      <c r="AJ9" s="38">
        <f t="shared" si="28"/>
        <v>6285820.6311659841</v>
      </c>
      <c r="AK9" s="23">
        <f t="shared" si="29"/>
        <v>595000</v>
      </c>
      <c r="AL9" s="23">
        <f t="shared" si="30"/>
        <v>3432.7583222754283</v>
      </c>
      <c r="AM9" s="23">
        <f t="shared" si="31"/>
        <v>42909.47902844286</v>
      </c>
      <c r="AN9" s="37">
        <f t="shared" si="32"/>
        <v>637909.47902844287</v>
      </c>
      <c r="AO9" s="38">
        <f t="shared" si="33"/>
        <v>8292823.2273697574</v>
      </c>
      <c r="AP9" s="23">
        <f t="shared" si="34"/>
        <v>875000</v>
      </c>
      <c r="AQ9" s="23">
        <f t="shared" si="35"/>
        <v>5048.1740033462174</v>
      </c>
      <c r="AR9" s="23">
        <f t="shared" si="36"/>
        <v>0</v>
      </c>
      <c r="AS9" s="37">
        <f t="shared" si="37"/>
        <v>875000</v>
      </c>
      <c r="AT9" s="38">
        <f t="shared" si="38"/>
        <v>11375000</v>
      </c>
    </row>
    <row r="10" spans="2:46" s="11" customFormat="1" ht="20.5" thickBot="1">
      <c r="B10" s="169"/>
      <c r="C10" s="170"/>
      <c r="D10" s="170"/>
      <c r="E10" s="170"/>
      <c r="F10" s="170"/>
      <c r="G10" s="22">
        <v>12</v>
      </c>
      <c r="H10" s="23">
        <f t="shared" si="0"/>
        <v>239000</v>
      </c>
      <c r="I10" s="23">
        <f t="shared" si="1"/>
        <v>1378.8726706282812</v>
      </c>
      <c r="J10" s="23">
        <f t="shared" si="2"/>
        <v>8617.9541914267575</v>
      </c>
      <c r="K10" s="36">
        <f t="shared" si="3"/>
        <v>247617.95419142675</v>
      </c>
      <c r="L10" s="23">
        <f t="shared" si="4"/>
        <v>239000</v>
      </c>
      <c r="M10" s="23">
        <f t="shared" si="5"/>
        <v>1378.8726706282812</v>
      </c>
      <c r="N10" s="23">
        <f t="shared" si="6"/>
        <v>17235.908382853515</v>
      </c>
      <c r="O10" s="37">
        <f t="shared" si="7"/>
        <v>256235.90838285352</v>
      </c>
      <c r="P10" s="38">
        <f t="shared" si="8"/>
        <v>3331066.8089770959</v>
      </c>
      <c r="Q10" s="23">
        <f t="shared" si="9"/>
        <v>254000</v>
      </c>
      <c r="R10" s="23">
        <f t="shared" si="10"/>
        <v>1465.4127963999306</v>
      </c>
      <c r="S10" s="23">
        <f t="shared" si="11"/>
        <v>18317.659954999133</v>
      </c>
      <c r="T10" s="37">
        <f t="shared" si="12"/>
        <v>272317.65995499911</v>
      </c>
      <c r="U10" s="38">
        <f t="shared" si="13"/>
        <v>3540129.5794149884</v>
      </c>
      <c r="V10" s="23">
        <f t="shared" si="14"/>
        <v>286000</v>
      </c>
      <c r="W10" s="23">
        <f t="shared" si="15"/>
        <v>1650.0317313794494</v>
      </c>
      <c r="X10" s="23">
        <f t="shared" si="16"/>
        <v>20625.396642243119</v>
      </c>
      <c r="Y10" s="37">
        <f t="shared" si="17"/>
        <v>306625.39664224314</v>
      </c>
      <c r="Z10" s="38">
        <f t="shared" si="18"/>
        <v>3986130.1563491607</v>
      </c>
      <c r="AA10" s="23">
        <f t="shared" si="19"/>
        <v>345000</v>
      </c>
      <c r="AB10" s="23">
        <f t="shared" si="20"/>
        <v>1990.4228927479373</v>
      </c>
      <c r="AC10" s="23">
        <f t="shared" si="21"/>
        <v>24880.286159349216</v>
      </c>
      <c r="AD10" s="37">
        <f t="shared" si="22"/>
        <v>369880.2861593492</v>
      </c>
      <c r="AE10" s="38">
        <f t="shared" si="23"/>
        <v>4808443.7200715393</v>
      </c>
      <c r="AF10" s="23">
        <f t="shared" si="24"/>
        <v>444000</v>
      </c>
      <c r="AG10" s="23">
        <f t="shared" si="25"/>
        <v>2561.5877228408235</v>
      </c>
      <c r="AH10" s="23">
        <f t="shared" si="26"/>
        <v>32019.846535510296</v>
      </c>
      <c r="AI10" s="37">
        <f t="shared" si="27"/>
        <v>476019.84653551027</v>
      </c>
      <c r="AJ10" s="38">
        <f t="shared" si="28"/>
        <v>6188258.0049616331</v>
      </c>
      <c r="AK10" s="23">
        <f t="shared" si="29"/>
        <v>585000</v>
      </c>
      <c r="AL10" s="23">
        <f t="shared" si="30"/>
        <v>3375.0649050943284</v>
      </c>
      <c r="AM10" s="23">
        <f t="shared" si="31"/>
        <v>42188.311313679107</v>
      </c>
      <c r="AN10" s="37">
        <f t="shared" si="32"/>
        <v>627188.31131367909</v>
      </c>
      <c r="AO10" s="38">
        <f t="shared" si="33"/>
        <v>8153448.0470778281</v>
      </c>
      <c r="AP10" s="23">
        <f t="shared" si="34"/>
        <v>860000</v>
      </c>
      <c r="AQ10" s="23">
        <f t="shared" si="35"/>
        <v>4961.633877574568</v>
      </c>
      <c r="AR10" s="23">
        <f t="shared" si="36"/>
        <v>0</v>
      </c>
      <c r="AS10" s="37">
        <f t="shared" si="37"/>
        <v>860000</v>
      </c>
      <c r="AT10" s="38">
        <f t="shared" si="38"/>
        <v>11180000</v>
      </c>
    </row>
    <row r="11" spans="2:46" s="11" customFormat="1" ht="20.5" thickBot="1">
      <c r="B11" s="169"/>
      <c r="C11" s="170"/>
      <c r="D11" s="170"/>
      <c r="E11" s="170"/>
      <c r="F11" s="170"/>
      <c r="G11" s="22">
        <v>11</v>
      </c>
      <c r="H11" s="23">
        <f t="shared" si="0"/>
        <v>237000</v>
      </c>
      <c r="I11" s="23">
        <f t="shared" si="1"/>
        <v>1367.3339871920614</v>
      </c>
      <c r="J11" s="23">
        <f t="shared" si="2"/>
        <v>8545.8374199503833</v>
      </c>
      <c r="K11" s="36">
        <f t="shared" si="3"/>
        <v>245545.83741995037</v>
      </c>
      <c r="L11" s="23">
        <f t="shared" si="4"/>
        <v>237000</v>
      </c>
      <c r="M11" s="23">
        <f t="shared" si="5"/>
        <v>1367.3339871920614</v>
      </c>
      <c r="N11" s="23">
        <f t="shared" si="6"/>
        <v>17091.674839900767</v>
      </c>
      <c r="O11" s="37">
        <f t="shared" si="7"/>
        <v>254091.67483990078</v>
      </c>
      <c r="P11" s="38">
        <f t="shared" si="8"/>
        <v>3303191.77291871</v>
      </c>
      <c r="Q11" s="23">
        <f t="shared" si="9"/>
        <v>252000</v>
      </c>
      <c r="R11" s="23">
        <f t="shared" si="10"/>
        <v>1453.8741129637108</v>
      </c>
      <c r="S11" s="23">
        <f t="shared" si="11"/>
        <v>18173.426412046385</v>
      </c>
      <c r="T11" s="37">
        <f t="shared" si="12"/>
        <v>270173.42641204636</v>
      </c>
      <c r="U11" s="38">
        <f t="shared" si="13"/>
        <v>3512254.5433566025</v>
      </c>
      <c r="V11" s="23">
        <f t="shared" si="14"/>
        <v>283000</v>
      </c>
      <c r="W11" s="23">
        <f t="shared" si="15"/>
        <v>1632.7237062251195</v>
      </c>
      <c r="X11" s="23">
        <f t="shared" si="16"/>
        <v>20409.046327813994</v>
      </c>
      <c r="Y11" s="37">
        <f t="shared" si="17"/>
        <v>303409.04632781399</v>
      </c>
      <c r="Z11" s="38">
        <f t="shared" si="18"/>
        <v>3944317.6022615819</v>
      </c>
      <c r="AA11" s="23">
        <f t="shared" si="19"/>
        <v>340000</v>
      </c>
      <c r="AB11" s="23">
        <f t="shared" si="20"/>
        <v>1961.5761841573874</v>
      </c>
      <c r="AC11" s="23">
        <f t="shared" si="21"/>
        <v>24519.70230196734</v>
      </c>
      <c r="AD11" s="37">
        <f t="shared" si="22"/>
        <v>364519.70230196737</v>
      </c>
      <c r="AE11" s="38">
        <f t="shared" si="23"/>
        <v>4738756.129925576</v>
      </c>
      <c r="AF11" s="23">
        <f t="shared" si="24"/>
        <v>437000</v>
      </c>
      <c r="AG11" s="23">
        <f t="shared" si="25"/>
        <v>2521.2023308140538</v>
      </c>
      <c r="AH11" s="23">
        <f t="shared" si="26"/>
        <v>31515.029135175675</v>
      </c>
      <c r="AI11" s="37">
        <f t="shared" si="27"/>
        <v>468515.02913517569</v>
      </c>
      <c r="AJ11" s="38">
        <f t="shared" si="28"/>
        <v>6090695.378757284</v>
      </c>
      <c r="AK11" s="23">
        <f t="shared" si="29"/>
        <v>575000</v>
      </c>
      <c r="AL11" s="23">
        <f t="shared" si="30"/>
        <v>3317.371487913229</v>
      </c>
      <c r="AM11" s="23">
        <f t="shared" si="31"/>
        <v>41467.143598915362</v>
      </c>
      <c r="AN11" s="37">
        <f t="shared" si="32"/>
        <v>616467.14359891531</v>
      </c>
      <c r="AO11" s="38">
        <f t="shared" si="33"/>
        <v>8014072.8667858988</v>
      </c>
      <c r="AP11" s="23">
        <f t="shared" si="34"/>
        <v>845000</v>
      </c>
      <c r="AQ11" s="23">
        <f t="shared" si="35"/>
        <v>4875.0937518029186</v>
      </c>
      <c r="AR11" s="23">
        <f t="shared" si="36"/>
        <v>0</v>
      </c>
      <c r="AS11" s="37">
        <f t="shared" si="37"/>
        <v>845000</v>
      </c>
      <c r="AT11" s="38">
        <f t="shared" si="38"/>
        <v>10985000</v>
      </c>
    </row>
    <row r="12" spans="2:46" ht="20.5" customHeight="1" thickBot="1">
      <c r="B12" s="169"/>
      <c r="C12" s="170"/>
      <c r="D12" s="170"/>
      <c r="E12" s="170"/>
      <c r="F12" s="170"/>
      <c r="G12" s="22">
        <v>10</v>
      </c>
      <c r="H12" s="23">
        <f t="shared" si="0"/>
        <v>235000</v>
      </c>
      <c r="I12" s="23">
        <f t="shared" si="1"/>
        <v>1355.7953037558414</v>
      </c>
      <c r="J12" s="23">
        <f t="shared" si="2"/>
        <v>8473.7206484740091</v>
      </c>
      <c r="K12" s="36">
        <f t="shared" si="3"/>
        <v>243473.720648474</v>
      </c>
      <c r="L12" s="23">
        <f t="shared" si="4"/>
        <v>235000</v>
      </c>
      <c r="M12" s="23">
        <f t="shared" si="5"/>
        <v>1355.7953037558414</v>
      </c>
      <c r="N12" s="23">
        <f t="shared" si="6"/>
        <v>16947.441296948018</v>
      </c>
      <c r="O12" s="37">
        <f t="shared" si="7"/>
        <v>251947.441296948</v>
      </c>
      <c r="P12" s="38">
        <f t="shared" si="8"/>
        <v>3275316.7368603242</v>
      </c>
      <c r="Q12" s="23">
        <f t="shared" si="9"/>
        <v>250000</v>
      </c>
      <c r="R12" s="23">
        <f t="shared" si="10"/>
        <v>1442.3354295274908</v>
      </c>
      <c r="S12" s="23">
        <f t="shared" si="11"/>
        <v>18029.192869093637</v>
      </c>
      <c r="T12" s="37">
        <f t="shared" si="12"/>
        <v>268029.19286909362</v>
      </c>
      <c r="U12" s="38">
        <f t="shared" si="13"/>
        <v>3484379.5072982172</v>
      </c>
      <c r="V12" s="23">
        <f t="shared" si="14"/>
        <v>280000</v>
      </c>
      <c r="W12" s="23">
        <f t="shared" si="15"/>
        <v>1615.4156810707898</v>
      </c>
      <c r="X12" s="23">
        <f t="shared" si="16"/>
        <v>20192.696013384873</v>
      </c>
      <c r="Y12" s="37">
        <f t="shared" si="17"/>
        <v>300192.69601338485</v>
      </c>
      <c r="Z12" s="38">
        <f t="shared" si="18"/>
        <v>3902505.0481740031</v>
      </c>
      <c r="AA12" s="23">
        <f t="shared" si="19"/>
        <v>335000</v>
      </c>
      <c r="AB12" s="23">
        <f t="shared" si="20"/>
        <v>1932.7294755668377</v>
      </c>
      <c r="AC12" s="23">
        <f t="shared" si="21"/>
        <v>24159.118444585471</v>
      </c>
      <c r="AD12" s="37">
        <f t="shared" si="22"/>
        <v>359159.11844458547</v>
      </c>
      <c r="AE12" s="38">
        <f t="shared" si="23"/>
        <v>4669068.5397796109</v>
      </c>
      <c r="AF12" s="23">
        <f t="shared" si="24"/>
        <v>430000</v>
      </c>
      <c r="AG12" s="23">
        <f t="shared" si="25"/>
        <v>2480.816938787284</v>
      </c>
      <c r="AH12" s="23">
        <f t="shared" si="26"/>
        <v>31010.21173484105</v>
      </c>
      <c r="AI12" s="37">
        <f t="shared" si="27"/>
        <v>461010.21173484105</v>
      </c>
      <c r="AJ12" s="38">
        <f t="shared" si="28"/>
        <v>5993132.752552934</v>
      </c>
      <c r="AK12" s="23">
        <f t="shared" si="29"/>
        <v>565000</v>
      </c>
      <c r="AL12" s="23">
        <f t="shared" si="30"/>
        <v>3259.6780707321291</v>
      </c>
      <c r="AM12" s="23">
        <f t="shared" si="31"/>
        <v>40745.975884151616</v>
      </c>
      <c r="AN12" s="37">
        <f t="shared" si="32"/>
        <v>605745.97588415165</v>
      </c>
      <c r="AO12" s="38">
        <f t="shared" si="33"/>
        <v>7874697.6864939714</v>
      </c>
      <c r="AP12" s="23">
        <f t="shared" si="34"/>
        <v>830000</v>
      </c>
      <c r="AQ12" s="23">
        <f t="shared" si="35"/>
        <v>4788.5536260312692</v>
      </c>
      <c r="AR12" s="23">
        <f t="shared" si="36"/>
        <v>0</v>
      </c>
      <c r="AS12" s="37">
        <f t="shared" si="37"/>
        <v>830000</v>
      </c>
      <c r="AT12" s="38">
        <f t="shared" si="38"/>
        <v>10790000</v>
      </c>
    </row>
    <row r="13" spans="2:46" ht="21.5" thickBot="1">
      <c r="B13" s="169"/>
      <c r="C13" s="170"/>
      <c r="D13" s="170"/>
      <c r="E13" s="170"/>
      <c r="F13" s="170"/>
      <c r="G13" s="24">
        <v>9</v>
      </c>
      <c r="H13" s="23">
        <f t="shared" si="0"/>
        <v>233000</v>
      </c>
      <c r="I13" s="23">
        <f t="shared" si="1"/>
        <v>1344.2566203196213</v>
      </c>
      <c r="J13" s="23">
        <f t="shared" si="2"/>
        <v>8401.6038769976331</v>
      </c>
      <c r="K13" s="36">
        <f t="shared" si="3"/>
        <v>241401.60387699763</v>
      </c>
      <c r="L13" s="23">
        <f t="shared" si="4"/>
        <v>233000</v>
      </c>
      <c r="M13" s="23">
        <f t="shared" si="5"/>
        <v>1344.2566203196213</v>
      </c>
      <c r="N13" s="23">
        <f t="shared" si="6"/>
        <v>16803.207753995266</v>
      </c>
      <c r="O13" s="37">
        <f t="shared" si="7"/>
        <v>249803.20775399526</v>
      </c>
      <c r="P13" s="38">
        <f t="shared" si="8"/>
        <v>3247441.7008019383</v>
      </c>
      <c r="Q13" s="23">
        <f t="shared" si="9"/>
        <v>248000</v>
      </c>
      <c r="R13" s="23">
        <f t="shared" si="10"/>
        <v>1430.796746091271</v>
      </c>
      <c r="S13" s="23">
        <f t="shared" si="11"/>
        <v>17884.959326140888</v>
      </c>
      <c r="T13" s="37">
        <f t="shared" si="12"/>
        <v>265884.95932614087</v>
      </c>
      <c r="U13" s="38">
        <f t="shared" si="13"/>
        <v>3456504.4712398313</v>
      </c>
      <c r="V13" s="23">
        <f t="shared" si="14"/>
        <v>277000</v>
      </c>
      <c r="W13" s="23">
        <f t="shared" si="15"/>
        <v>1598.1076559164599</v>
      </c>
      <c r="X13" s="23">
        <f t="shared" si="16"/>
        <v>19976.345698955745</v>
      </c>
      <c r="Y13" s="37">
        <f t="shared" si="17"/>
        <v>296976.34569895576</v>
      </c>
      <c r="Z13" s="38">
        <f t="shared" si="18"/>
        <v>3860692.4940864248</v>
      </c>
      <c r="AA13" s="23">
        <f t="shared" si="19"/>
        <v>330000</v>
      </c>
      <c r="AB13" s="23">
        <f t="shared" si="20"/>
        <v>1903.8827669762879</v>
      </c>
      <c r="AC13" s="23">
        <f t="shared" si="21"/>
        <v>23798.534587203598</v>
      </c>
      <c r="AD13" s="37">
        <f t="shared" si="22"/>
        <v>353798.53458720358</v>
      </c>
      <c r="AE13" s="38">
        <f t="shared" si="23"/>
        <v>4599380.9496336468</v>
      </c>
      <c r="AF13" s="23">
        <f t="shared" si="24"/>
        <v>423000</v>
      </c>
      <c r="AG13" s="23">
        <f t="shared" si="25"/>
        <v>2440.4315467605143</v>
      </c>
      <c r="AH13" s="23">
        <f t="shared" si="26"/>
        <v>30505.394334506425</v>
      </c>
      <c r="AI13" s="37">
        <f t="shared" si="27"/>
        <v>453505.39433450642</v>
      </c>
      <c r="AJ13" s="38">
        <f t="shared" si="28"/>
        <v>5895570.126348583</v>
      </c>
      <c r="AK13" s="23">
        <f t="shared" si="29"/>
        <v>555000</v>
      </c>
      <c r="AL13" s="23">
        <f t="shared" si="30"/>
        <v>3201.9846535510296</v>
      </c>
      <c r="AM13" s="23">
        <f t="shared" si="31"/>
        <v>40024.80816938787</v>
      </c>
      <c r="AN13" s="37">
        <f t="shared" si="32"/>
        <v>595024.80816938786</v>
      </c>
      <c r="AO13" s="38">
        <f t="shared" si="33"/>
        <v>7735322.5062020421</v>
      </c>
      <c r="AP13" s="23">
        <f t="shared" si="34"/>
        <v>815000</v>
      </c>
      <c r="AQ13" s="23">
        <f t="shared" si="35"/>
        <v>4702.0135002596198</v>
      </c>
      <c r="AR13" s="23">
        <f t="shared" si="36"/>
        <v>0</v>
      </c>
      <c r="AS13" s="37">
        <f t="shared" si="37"/>
        <v>815000</v>
      </c>
      <c r="AT13" s="38">
        <f t="shared" si="38"/>
        <v>10595000</v>
      </c>
    </row>
    <row r="14" spans="2:46" ht="21.5" thickBot="1">
      <c r="B14" s="169"/>
      <c r="C14" s="170"/>
      <c r="D14" s="170"/>
      <c r="E14" s="170"/>
      <c r="F14" s="170"/>
      <c r="G14" s="24">
        <v>8</v>
      </c>
      <c r="H14" s="23">
        <f t="shared" si="0"/>
        <v>231000</v>
      </c>
      <c r="I14" s="23">
        <f t="shared" si="1"/>
        <v>1332.7179368834015</v>
      </c>
      <c r="J14" s="23">
        <f t="shared" si="2"/>
        <v>8329.4871055212589</v>
      </c>
      <c r="K14" s="36">
        <f t="shared" si="3"/>
        <v>239329.48710552126</v>
      </c>
      <c r="L14" s="23">
        <f t="shared" si="4"/>
        <v>231000</v>
      </c>
      <c r="M14" s="23">
        <f t="shared" si="5"/>
        <v>1332.7179368834015</v>
      </c>
      <c r="N14" s="23">
        <f t="shared" si="6"/>
        <v>16658.974211042518</v>
      </c>
      <c r="O14" s="37">
        <f t="shared" si="7"/>
        <v>247658.97421104251</v>
      </c>
      <c r="P14" s="38">
        <f t="shared" si="8"/>
        <v>3219566.6647435529</v>
      </c>
      <c r="Q14" s="23">
        <f t="shared" si="9"/>
        <v>246000</v>
      </c>
      <c r="R14" s="23">
        <f t="shared" si="10"/>
        <v>1419.2580626550509</v>
      </c>
      <c r="S14" s="23">
        <f t="shared" si="11"/>
        <v>17740.725783188136</v>
      </c>
      <c r="T14" s="37">
        <f t="shared" si="12"/>
        <v>263740.72578318813</v>
      </c>
      <c r="U14" s="38">
        <f t="shared" si="13"/>
        <v>3428629.4351814454</v>
      </c>
      <c r="V14" s="23">
        <f t="shared" si="14"/>
        <v>274000</v>
      </c>
      <c r="W14" s="23">
        <f t="shared" si="15"/>
        <v>1580.7996307621299</v>
      </c>
      <c r="X14" s="23">
        <f t="shared" si="16"/>
        <v>19759.995384526625</v>
      </c>
      <c r="Y14" s="37">
        <f t="shared" si="17"/>
        <v>293759.99538452661</v>
      </c>
      <c r="Z14" s="38">
        <f t="shared" si="18"/>
        <v>3818879.939998846</v>
      </c>
      <c r="AA14" s="23">
        <f t="shared" si="19"/>
        <v>325000</v>
      </c>
      <c r="AB14" s="23">
        <f t="shared" si="20"/>
        <v>1875.036058385738</v>
      </c>
      <c r="AC14" s="23">
        <f t="shared" si="21"/>
        <v>23437.950729821721</v>
      </c>
      <c r="AD14" s="37">
        <f t="shared" si="22"/>
        <v>348437.95072982169</v>
      </c>
      <c r="AE14" s="38">
        <f t="shared" si="23"/>
        <v>4529693.3594876816</v>
      </c>
      <c r="AF14" s="23">
        <f t="shared" si="24"/>
        <v>416000</v>
      </c>
      <c r="AG14" s="23">
        <f t="shared" si="25"/>
        <v>2400.0461547337445</v>
      </c>
      <c r="AH14" s="23">
        <f t="shared" si="26"/>
        <v>30000.576934171804</v>
      </c>
      <c r="AI14" s="37">
        <f t="shared" si="27"/>
        <v>446000.57693417178</v>
      </c>
      <c r="AJ14" s="38">
        <f t="shared" si="28"/>
        <v>5798007.500144233</v>
      </c>
      <c r="AK14" s="23">
        <f t="shared" si="29"/>
        <v>545000</v>
      </c>
      <c r="AL14" s="23">
        <f t="shared" si="30"/>
        <v>3144.2912363699302</v>
      </c>
      <c r="AM14" s="23">
        <f t="shared" si="31"/>
        <v>39303.640454624125</v>
      </c>
      <c r="AN14" s="37">
        <f t="shared" si="32"/>
        <v>584303.64045462408</v>
      </c>
      <c r="AO14" s="38">
        <f t="shared" si="33"/>
        <v>7595947.3259101128</v>
      </c>
      <c r="AP14" s="23">
        <f t="shared" si="34"/>
        <v>800000</v>
      </c>
      <c r="AQ14" s="23">
        <f t="shared" si="35"/>
        <v>4615.4733744879704</v>
      </c>
      <c r="AR14" s="23">
        <f t="shared" si="36"/>
        <v>0</v>
      </c>
      <c r="AS14" s="37">
        <f t="shared" si="37"/>
        <v>800000</v>
      </c>
      <c r="AT14" s="38">
        <f t="shared" si="38"/>
        <v>10400000</v>
      </c>
    </row>
    <row r="15" spans="2:46" ht="21.5" thickBot="1">
      <c r="B15" s="169"/>
      <c r="C15" s="170"/>
      <c r="D15" s="170"/>
      <c r="E15" s="170"/>
      <c r="F15" s="170"/>
      <c r="G15" s="24">
        <v>7</v>
      </c>
      <c r="H15" s="23">
        <f t="shared" si="0"/>
        <v>229000</v>
      </c>
      <c r="I15" s="23">
        <f t="shared" si="1"/>
        <v>1321.1792534471815</v>
      </c>
      <c r="J15" s="23">
        <f t="shared" si="2"/>
        <v>8257.3703340448847</v>
      </c>
      <c r="K15" s="36">
        <f t="shared" si="3"/>
        <v>237257.37033404488</v>
      </c>
      <c r="L15" s="23">
        <f t="shared" si="4"/>
        <v>229000</v>
      </c>
      <c r="M15" s="23">
        <f t="shared" si="5"/>
        <v>1321.1792534471815</v>
      </c>
      <c r="N15" s="23">
        <f t="shared" si="6"/>
        <v>16514.740668089769</v>
      </c>
      <c r="O15" s="37">
        <f t="shared" si="7"/>
        <v>245514.74066808977</v>
      </c>
      <c r="P15" s="38">
        <f t="shared" si="8"/>
        <v>3191691.6286851671</v>
      </c>
      <c r="Q15" s="23">
        <f t="shared" si="9"/>
        <v>244000</v>
      </c>
      <c r="R15" s="23">
        <f t="shared" si="10"/>
        <v>1407.7193792188311</v>
      </c>
      <c r="S15" s="23">
        <f t="shared" si="11"/>
        <v>17596.492240235388</v>
      </c>
      <c r="T15" s="37">
        <f t="shared" si="12"/>
        <v>261596.49224023538</v>
      </c>
      <c r="U15" s="38">
        <f t="shared" si="13"/>
        <v>3400754.3991230601</v>
      </c>
      <c r="V15" s="23">
        <f t="shared" si="14"/>
        <v>271000</v>
      </c>
      <c r="W15" s="23">
        <f t="shared" si="15"/>
        <v>1563.4916056078</v>
      </c>
      <c r="X15" s="23">
        <f t="shared" si="16"/>
        <v>19543.6450700975</v>
      </c>
      <c r="Y15" s="37">
        <f t="shared" si="17"/>
        <v>290543.64507009753</v>
      </c>
      <c r="Z15" s="38">
        <f t="shared" si="18"/>
        <v>3777067.3859112677</v>
      </c>
      <c r="AA15" s="23">
        <f t="shared" si="19"/>
        <v>320000</v>
      </c>
      <c r="AB15" s="23">
        <f t="shared" si="20"/>
        <v>1846.1893497951883</v>
      </c>
      <c r="AC15" s="23">
        <f t="shared" si="21"/>
        <v>23077.366872439852</v>
      </c>
      <c r="AD15" s="37">
        <f t="shared" si="22"/>
        <v>343077.36687243986</v>
      </c>
      <c r="AE15" s="38">
        <f t="shared" si="23"/>
        <v>4460005.7693417184</v>
      </c>
      <c r="AF15" s="23">
        <f t="shared" si="24"/>
        <v>409000</v>
      </c>
      <c r="AG15" s="23">
        <f t="shared" si="25"/>
        <v>2359.6607627069748</v>
      </c>
      <c r="AH15" s="23">
        <f t="shared" si="26"/>
        <v>29495.759533837187</v>
      </c>
      <c r="AI15" s="37">
        <f t="shared" si="27"/>
        <v>438495.7595338372</v>
      </c>
      <c r="AJ15" s="38">
        <f t="shared" si="28"/>
        <v>5700444.8739398839</v>
      </c>
      <c r="AK15" s="23">
        <f t="shared" si="29"/>
        <v>535000</v>
      </c>
      <c r="AL15" s="23">
        <f t="shared" si="30"/>
        <v>3086.5978191888303</v>
      </c>
      <c r="AM15" s="23">
        <f t="shared" si="31"/>
        <v>38582.472739860379</v>
      </c>
      <c r="AN15" s="37">
        <f t="shared" si="32"/>
        <v>573582.47273986042</v>
      </c>
      <c r="AO15" s="38">
        <f t="shared" si="33"/>
        <v>7456572.1456181854</v>
      </c>
      <c r="AP15" s="23">
        <f t="shared" si="34"/>
        <v>785000</v>
      </c>
      <c r="AQ15" s="23">
        <f t="shared" si="35"/>
        <v>4528.933248716321</v>
      </c>
      <c r="AR15" s="23">
        <f t="shared" si="36"/>
        <v>0</v>
      </c>
      <c r="AS15" s="37">
        <f t="shared" si="37"/>
        <v>785000</v>
      </c>
      <c r="AT15" s="38">
        <f t="shared" si="38"/>
        <v>10205000</v>
      </c>
    </row>
    <row r="16" spans="2:46" ht="21.5" thickBot="1">
      <c r="B16" s="169"/>
      <c r="C16" s="170"/>
      <c r="D16" s="170"/>
      <c r="E16" s="170"/>
      <c r="F16" s="170"/>
      <c r="G16" s="24">
        <v>6</v>
      </c>
      <c r="H16" s="23">
        <f t="shared" si="0"/>
        <v>227000</v>
      </c>
      <c r="I16" s="23">
        <f t="shared" si="1"/>
        <v>1309.6405700109617</v>
      </c>
      <c r="J16" s="23">
        <f t="shared" si="2"/>
        <v>8185.2535625685105</v>
      </c>
      <c r="K16" s="36">
        <f t="shared" si="3"/>
        <v>235185.25356256851</v>
      </c>
      <c r="L16" s="23">
        <f t="shared" si="4"/>
        <v>227000</v>
      </c>
      <c r="M16" s="23">
        <f t="shared" si="5"/>
        <v>1309.6405700109617</v>
      </c>
      <c r="N16" s="23">
        <f t="shared" si="6"/>
        <v>16370.507125137021</v>
      </c>
      <c r="O16" s="37">
        <f t="shared" si="7"/>
        <v>243370.50712513702</v>
      </c>
      <c r="P16" s="38">
        <f t="shared" si="8"/>
        <v>3163816.5926267812</v>
      </c>
      <c r="Q16" s="23">
        <f t="shared" si="9"/>
        <v>242000</v>
      </c>
      <c r="R16" s="23">
        <f t="shared" si="10"/>
        <v>1396.1806957826111</v>
      </c>
      <c r="S16" s="23">
        <f t="shared" si="11"/>
        <v>17452.258697282639</v>
      </c>
      <c r="T16" s="37">
        <f t="shared" si="12"/>
        <v>259452.25869728264</v>
      </c>
      <c r="U16" s="38">
        <f t="shared" si="13"/>
        <v>3372879.3630646742</v>
      </c>
      <c r="V16" s="23">
        <f t="shared" si="14"/>
        <v>268000</v>
      </c>
      <c r="W16" s="23">
        <f t="shared" si="15"/>
        <v>1546.1835804534701</v>
      </c>
      <c r="X16" s="23">
        <f t="shared" si="16"/>
        <v>19327.294755668376</v>
      </c>
      <c r="Y16" s="37">
        <f t="shared" si="17"/>
        <v>287327.29475566838</v>
      </c>
      <c r="Z16" s="38">
        <f t="shared" si="18"/>
        <v>3735254.8318236889</v>
      </c>
      <c r="AA16" s="23">
        <f t="shared" si="19"/>
        <v>315000</v>
      </c>
      <c r="AB16" s="23">
        <f t="shared" si="20"/>
        <v>1817.3426412046383</v>
      </c>
      <c r="AC16" s="23">
        <f t="shared" si="21"/>
        <v>22716.783015057983</v>
      </c>
      <c r="AD16" s="37">
        <f t="shared" si="22"/>
        <v>337716.78301505797</v>
      </c>
      <c r="AE16" s="38">
        <f t="shared" si="23"/>
        <v>4390318.1791957533</v>
      </c>
      <c r="AF16" s="23">
        <f t="shared" si="24"/>
        <v>402000</v>
      </c>
      <c r="AG16" s="23">
        <f t="shared" si="25"/>
        <v>2319.275370680205</v>
      </c>
      <c r="AH16" s="23">
        <f t="shared" si="26"/>
        <v>28990.942133502562</v>
      </c>
      <c r="AI16" s="37">
        <f t="shared" si="27"/>
        <v>430990.94213350257</v>
      </c>
      <c r="AJ16" s="38">
        <f t="shared" si="28"/>
        <v>5602882.2477355339</v>
      </c>
      <c r="AK16" s="23">
        <f t="shared" si="29"/>
        <v>525000</v>
      </c>
      <c r="AL16" s="23">
        <f t="shared" si="30"/>
        <v>3028.9044020077308</v>
      </c>
      <c r="AM16" s="23">
        <f t="shared" si="31"/>
        <v>37861.305025096633</v>
      </c>
      <c r="AN16" s="37">
        <f t="shared" si="32"/>
        <v>562861.30502509663</v>
      </c>
      <c r="AO16" s="38">
        <f t="shared" si="33"/>
        <v>7317196.9653262561</v>
      </c>
      <c r="AP16" s="23">
        <f t="shared" si="34"/>
        <v>770000</v>
      </c>
      <c r="AQ16" s="23">
        <f t="shared" si="35"/>
        <v>4442.3931229446716</v>
      </c>
      <c r="AR16" s="23">
        <f t="shared" si="36"/>
        <v>0</v>
      </c>
      <c r="AS16" s="37">
        <f t="shared" si="37"/>
        <v>770000</v>
      </c>
      <c r="AT16" s="38">
        <f t="shared" si="38"/>
        <v>10010000</v>
      </c>
    </row>
    <row r="17" spans="2:46" ht="21.5" thickBot="1">
      <c r="B17" s="169"/>
      <c r="C17" s="170"/>
      <c r="D17" s="170"/>
      <c r="E17" s="170"/>
      <c r="F17" s="170"/>
      <c r="G17" s="24">
        <v>5</v>
      </c>
      <c r="H17" s="23">
        <f t="shared" si="0"/>
        <v>225000</v>
      </c>
      <c r="I17" s="23">
        <f t="shared" si="1"/>
        <v>1298.1018865747417</v>
      </c>
      <c r="J17" s="23">
        <f t="shared" si="2"/>
        <v>8113.1367910921363</v>
      </c>
      <c r="K17" s="36">
        <f t="shared" si="3"/>
        <v>233113.13679109214</v>
      </c>
      <c r="L17" s="23">
        <f t="shared" si="4"/>
        <v>225000</v>
      </c>
      <c r="M17" s="23">
        <f t="shared" si="5"/>
        <v>1298.1018865747417</v>
      </c>
      <c r="N17" s="23">
        <f t="shared" si="6"/>
        <v>16226.273582184273</v>
      </c>
      <c r="O17" s="37">
        <f t="shared" si="7"/>
        <v>241226.27358218428</v>
      </c>
      <c r="P17" s="38">
        <f t="shared" si="8"/>
        <v>3135941.5565683958</v>
      </c>
      <c r="Q17" s="23">
        <f t="shared" si="9"/>
        <v>240000</v>
      </c>
      <c r="R17" s="23">
        <f t="shared" si="10"/>
        <v>1384.6420123463911</v>
      </c>
      <c r="S17" s="23">
        <f t="shared" si="11"/>
        <v>17308.025154329887</v>
      </c>
      <c r="T17" s="37">
        <f t="shared" si="12"/>
        <v>257308.02515432989</v>
      </c>
      <c r="U17" s="38">
        <f t="shared" si="13"/>
        <v>3345004.3270062888</v>
      </c>
      <c r="V17" s="23">
        <f t="shared" si="14"/>
        <v>265000</v>
      </c>
      <c r="W17" s="23">
        <f t="shared" si="15"/>
        <v>1528.8755552991402</v>
      </c>
      <c r="X17" s="23">
        <f t="shared" si="16"/>
        <v>19110.944441239255</v>
      </c>
      <c r="Y17" s="37">
        <f t="shared" si="17"/>
        <v>284110.94444123923</v>
      </c>
      <c r="Z17" s="38">
        <f t="shared" si="18"/>
        <v>3693442.2777361101</v>
      </c>
      <c r="AA17" s="23">
        <f t="shared" si="19"/>
        <v>310000</v>
      </c>
      <c r="AB17" s="23">
        <f t="shared" si="20"/>
        <v>1788.4959326140886</v>
      </c>
      <c r="AC17" s="23">
        <f t="shared" si="21"/>
        <v>22356.199157676107</v>
      </c>
      <c r="AD17" s="37">
        <f t="shared" si="22"/>
        <v>332356.19915767608</v>
      </c>
      <c r="AE17" s="38">
        <f t="shared" si="23"/>
        <v>4320630.5890497891</v>
      </c>
      <c r="AF17" s="23">
        <f t="shared" si="24"/>
        <v>395000</v>
      </c>
      <c r="AG17" s="23">
        <f t="shared" si="25"/>
        <v>2278.8899786534353</v>
      </c>
      <c r="AH17" s="23">
        <f t="shared" si="26"/>
        <v>28486.124733167941</v>
      </c>
      <c r="AI17" s="37">
        <f t="shared" si="27"/>
        <v>423486.12473316793</v>
      </c>
      <c r="AJ17" s="38">
        <f t="shared" si="28"/>
        <v>5505319.6215311829</v>
      </c>
      <c r="AK17" s="23">
        <f t="shared" si="29"/>
        <v>515000</v>
      </c>
      <c r="AL17" s="23">
        <f t="shared" si="30"/>
        <v>2971.2109848266309</v>
      </c>
      <c r="AM17" s="23">
        <f t="shared" si="31"/>
        <v>37140.137310332881</v>
      </c>
      <c r="AN17" s="37">
        <f t="shared" si="32"/>
        <v>552140.13731033285</v>
      </c>
      <c r="AO17" s="38">
        <f t="shared" si="33"/>
        <v>7177821.7850343268</v>
      </c>
      <c r="AP17" s="23">
        <f t="shared" si="34"/>
        <v>755000</v>
      </c>
      <c r="AQ17" s="23">
        <f t="shared" si="35"/>
        <v>4355.8529971730222</v>
      </c>
      <c r="AR17" s="23">
        <f t="shared" si="36"/>
        <v>0</v>
      </c>
      <c r="AS17" s="37">
        <f t="shared" si="37"/>
        <v>755000</v>
      </c>
      <c r="AT17" s="38">
        <f t="shared" si="38"/>
        <v>9815000</v>
      </c>
    </row>
    <row r="18" spans="2:46" ht="21.5" thickBot="1">
      <c r="B18" s="169"/>
      <c r="C18" s="170"/>
      <c r="D18" s="170"/>
      <c r="E18" s="170"/>
      <c r="F18" s="170"/>
      <c r="G18" s="24">
        <v>4</v>
      </c>
      <c r="H18" s="23">
        <f t="shared" si="0"/>
        <v>223000</v>
      </c>
      <c r="I18" s="23">
        <f t="shared" si="1"/>
        <v>1286.5632031385219</v>
      </c>
      <c r="J18" s="23">
        <f t="shared" si="2"/>
        <v>8041.0200196157621</v>
      </c>
      <c r="K18" s="36">
        <f t="shared" si="3"/>
        <v>231041.02001961577</v>
      </c>
      <c r="L18" s="23">
        <f t="shared" si="4"/>
        <v>223000</v>
      </c>
      <c r="M18" s="23">
        <f t="shared" si="5"/>
        <v>1286.5632031385219</v>
      </c>
      <c r="N18" s="23">
        <f t="shared" si="6"/>
        <v>16082.040039231524</v>
      </c>
      <c r="O18" s="37">
        <f t="shared" si="7"/>
        <v>239082.04003923154</v>
      </c>
      <c r="P18" s="38">
        <f t="shared" si="8"/>
        <v>3108066.52051001</v>
      </c>
      <c r="Q18" s="23">
        <f t="shared" si="9"/>
        <v>238000</v>
      </c>
      <c r="R18" s="23">
        <f t="shared" si="10"/>
        <v>1373.1033289101713</v>
      </c>
      <c r="S18" s="23">
        <f t="shared" si="11"/>
        <v>17163.791611377143</v>
      </c>
      <c r="T18" s="37">
        <f t="shared" si="12"/>
        <v>255163.79161137715</v>
      </c>
      <c r="U18" s="38">
        <f t="shared" si="13"/>
        <v>3317129.2909479029</v>
      </c>
      <c r="V18" s="23">
        <f t="shared" si="14"/>
        <v>262000</v>
      </c>
      <c r="W18" s="23">
        <f t="shared" si="15"/>
        <v>1511.5675301448105</v>
      </c>
      <c r="X18" s="23">
        <f t="shared" si="16"/>
        <v>18894.594126810131</v>
      </c>
      <c r="Y18" s="37">
        <f t="shared" si="17"/>
        <v>280894.59412681015</v>
      </c>
      <c r="Z18" s="38">
        <f t="shared" si="18"/>
        <v>3651629.7236485318</v>
      </c>
      <c r="AA18" s="23">
        <f t="shared" si="19"/>
        <v>305000</v>
      </c>
      <c r="AB18" s="23">
        <f t="shared" si="20"/>
        <v>1759.6492240235389</v>
      </c>
      <c r="AC18" s="23">
        <f t="shared" si="21"/>
        <v>21995.615300294234</v>
      </c>
      <c r="AD18" s="37">
        <f t="shared" si="22"/>
        <v>326995.61530029424</v>
      </c>
      <c r="AE18" s="38">
        <f t="shared" si="23"/>
        <v>4250942.9989038249</v>
      </c>
      <c r="AF18" s="23">
        <f t="shared" si="24"/>
        <v>388000</v>
      </c>
      <c r="AG18" s="23">
        <f t="shared" si="25"/>
        <v>2238.5045866266655</v>
      </c>
      <c r="AH18" s="23">
        <f t="shared" si="26"/>
        <v>27981.307332833319</v>
      </c>
      <c r="AI18" s="37">
        <f t="shared" si="27"/>
        <v>415981.3073328333</v>
      </c>
      <c r="AJ18" s="38">
        <f t="shared" si="28"/>
        <v>5407756.9953268329</v>
      </c>
      <c r="AK18" s="23">
        <f t="shared" si="29"/>
        <v>505000</v>
      </c>
      <c r="AL18" s="23">
        <f t="shared" si="30"/>
        <v>2913.5175676455315</v>
      </c>
      <c r="AM18" s="23">
        <f t="shared" si="31"/>
        <v>36418.969595569142</v>
      </c>
      <c r="AN18" s="37">
        <f t="shared" si="32"/>
        <v>541418.96959556919</v>
      </c>
      <c r="AO18" s="38">
        <f t="shared" si="33"/>
        <v>7038446.6047423994</v>
      </c>
      <c r="AP18" s="23">
        <f t="shared" si="34"/>
        <v>740000</v>
      </c>
      <c r="AQ18" s="23">
        <f t="shared" si="35"/>
        <v>4269.3128714013728</v>
      </c>
      <c r="AR18" s="23">
        <f t="shared" si="36"/>
        <v>0</v>
      </c>
      <c r="AS18" s="37">
        <f t="shared" si="37"/>
        <v>740000</v>
      </c>
      <c r="AT18" s="38">
        <f t="shared" si="38"/>
        <v>9620000</v>
      </c>
    </row>
    <row r="19" spans="2:46" ht="21.5" thickBot="1">
      <c r="B19" s="169"/>
      <c r="C19" s="170"/>
      <c r="D19" s="170"/>
      <c r="E19" s="170"/>
      <c r="F19" s="170"/>
      <c r="G19" s="24">
        <v>3</v>
      </c>
      <c r="H19" s="23">
        <f t="shared" si="0"/>
        <v>221000</v>
      </c>
      <c r="I19" s="23">
        <f t="shared" si="1"/>
        <v>1275.0245197023019</v>
      </c>
      <c r="J19" s="23">
        <f t="shared" si="2"/>
        <v>7968.9032481393861</v>
      </c>
      <c r="K19" s="36">
        <f t="shared" si="3"/>
        <v>228968.9032481394</v>
      </c>
      <c r="L19" s="23">
        <f t="shared" si="4"/>
        <v>221000</v>
      </c>
      <c r="M19" s="23">
        <f t="shared" si="5"/>
        <v>1275.0245197023019</v>
      </c>
      <c r="N19" s="23">
        <f t="shared" si="6"/>
        <v>15937.806496278772</v>
      </c>
      <c r="O19" s="37">
        <f t="shared" si="7"/>
        <v>236937.80649627876</v>
      </c>
      <c r="P19" s="38">
        <f t="shared" si="8"/>
        <v>3080191.4844516241</v>
      </c>
      <c r="Q19" s="23">
        <f t="shared" si="9"/>
        <v>236000</v>
      </c>
      <c r="R19" s="23">
        <f t="shared" si="10"/>
        <v>1361.5646454739513</v>
      </c>
      <c r="S19" s="23">
        <f t="shared" si="11"/>
        <v>17019.558068424391</v>
      </c>
      <c r="T19" s="37">
        <f t="shared" si="12"/>
        <v>253019.55806842441</v>
      </c>
      <c r="U19" s="38">
        <f t="shared" si="13"/>
        <v>3289254.2548895171</v>
      </c>
      <c r="V19" s="23">
        <f t="shared" si="14"/>
        <v>259000</v>
      </c>
      <c r="W19" s="23">
        <f t="shared" si="15"/>
        <v>1494.2595049904805</v>
      </c>
      <c r="X19" s="23">
        <f t="shared" si="16"/>
        <v>18678.243812381006</v>
      </c>
      <c r="Y19" s="37">
        <f t="shared" si="17"/>
        <v>277678.243812381</v>
      </c>
      <c r="Z19" s="38">
        <f t="shared" si="18"/>
        <v>3609817.169560953</v>
      </c>
      <c r="AA19" s="23">
        <f t="shared" si="19"/>
        <v>300000</v>
      </c>
      <c r="AB19" s="23">
        <f t="shared" si="20"/>
        <v>1730.8025154329889</v>
      </c>
      <c r="AC19" s="23">
        <f t="shared" si="21"/>
        <v>21635.031442912361</v>
      </c>
      <c r="AD19" s="37">
        <f t="shared" si="22"/>
        <v>321635.03144291235</v>
      </c>
      <c r="AE19" s="38">
        <f t="shared" si="23"/>
        <v>4181255.4087578608</v>
      </c>
      <c r="AF19" s="23">
        <f t="shared" si="24"/>
        <v>381000</v>
      </c>
      <c r="AG19" s="23">
        <f t="shared" si="25"/>
        <v>2198.1191945998962</v>
      </c>
      <c r="AH19" s="23">
        <f t="shared" si="26"/>
        <v>27476.489932498702</v>
      </c>
      <c r="AI19" s="37">
        <f t="shared" si="27"/>
        <v>408476.48993249872</v>
      </c>
      <c r="AJ19" s="38">
        <f t="shared" si="28"/>
        <v>5310194.3691224838</v>
      </c>
      <c r="AK19" s="23">
        <f t="shared" si="29"/>
        <v>495000</v>
      </c>
      <c r="AL19" s="23">
        <f t="shared" si="30"/>
        <v>2855.824150464432</v>
      </c>
      <c r="AM19" s="23">
        <f t="shared" si="31"/>
        <v>35697.801880805404</v>
      </c>
      <c r="AN19" s="37">
        <f t="shared" si="32"/>
        <v>530697.8018808054</v>
      </c>
      <c r="AO19" s="38">
        <f t="shared" si="33"/>
        <v>6899071.4244504701</v>
      </c>
      <c r="AP19" s="23">
        <f t="shared" si="34"/>
        <v>725000</v>
      </c>
      <c r="AQ19" s="23">
        <f t="shared" si="35"/>
        <v>4182.7727456297234</v>
      </c>
      <c r="AR19" s="23">
        <f t="shared" si="36"/>
        <v>0</v>
      </c>
      <c r="AS19" s="37">
        <f t="shared" si="37"/>
        <v>725000</v>
      </c>
      <c r="AT19" s="38">
        <f t="shared" si="38"/>
        <v>9425000</v>
      </c>
    </row>
    <row r="20" spans="2:46" ht="22" customHeight="1" thickBot="1">
      <c r="B20" s="169"/>
      <c r="C20" s="170"/>
      <c r="D20" s="170"/>
      <c r="E20" s="170"/>
      <c r="F20" s="170"/>
      <c r="G20" s="24">
        <v>2</v>
      </c>
      <c r="H20" s="23">
        <f t="shared" si="0"/>
        <v>219000</v>
      </c>
      <c r="I20" s="23">
        <f t="shared" si="1"/>
        <v>1263.4858362660821</v>
      </c>
      <c r="J20" s="23">
        <f t="shared" si="2"/>
        <v>7896.7864766630119</v>
      </c>
      <c r="K20" s="36">
        <f t="shared" si="3"/>
        <v>226896.78647666302</v>
      </c>
      <c r="L20" s="23">
        <f t="shared" si="4"/>
        <v>219000</v>
      </c>
      <c r="M20" s="23">
        <f t="shared" si="5"/>
        <v>1263.4858362660821</v>
      </c>
      <c r="N20" s="23">
        <f t="shared" si="6"/>
        <v>15793.572953326024</v>
      </c>
      <c r="O20" s="37">
        <f t="shared" si="7"/>
        <v>234793.57295332602</v>
      </c>
      <c r="P20" s="38">
        <f t="shared" si="8"/>
        <v>3052316.4483932382</v>
      </c>
      <c r="Q20" s="23">
        <f t="shared" si="9"/>
        <v>234000</v>
      </c>
      <c r="R20" s="23">
        <f t="shared" si="10"/>
        <v>1350.0259620377315</v>
      </c>
      <c r="S20" s="23">
        <f t="shared" si="11"/>
        <v>16875.324525471642</v>
      </c>
      <c r="T20" s="37">
        <f t="shared" si="12"/>
        <v>250875.32452547163</v>
      </c>
      <c r="U20" s="38">
        <f t="shared" si="13"/>
        <v>3261379.2188311312</v>
      </c>
      <c r="V20" s="23">
        <f t="shared" si="14"/>
        <v>256000</v>
      </c>
      <c r="W20" s="23">
        <f t="shared" si="15"/>
        <v>1476.9514798361506</v>
      </c>
      <c r="X20" s="23">
        <f t="shared" si="16"/>
        <v>18461.893497951882</v>
      </c>
      <c r="Y20" s="37">
        <f t="shared" si="17"/>
        <v>274461.89349795191</v>
      </c>
      <c r="Z20" s="38">
        <f t="shared" si="18"/>
        <v>3568004.6154733747</v>
      </c>
      <c r="AA20" s="23">
        <f t="shared" si="19"/>
        <v>295000</v>
      </c>
      <c r="AB20" s="23">
        <f t="shared" si="20"/>
        <v>1701.9558068424392</v>
      </c>
      <c r="AC20" s="23">
        <f t="shared" si="21"/>
        <v>21274.447585530488</v>
      </c>
      <c r="AD20" s="37">
        <f t="shared" si="22"/>
        <v>316274.44758553046</v>
      </c>
      <c r="AE20" s="38">
        <f t="shared" si="23"/>
        <v>4111567.8186118961</v>
      </c>
      <c r="AF20" s="23">
        <f t="shared" si="24"/>
        <v>374000</v>
      </c>
      <c r="AG20" s="23">
        <f t="shared" si="25"/>
        <v>2157.7338025731265</v>
      </c>
      <c r="AH20" s="23">
        <f t="shared" si="26"/>
        <v>26971.672532164081</v>
      </c>
      <c r="AI20" s="37">
        <f t="shared" si="27"/>
        <v>400971.67253216408</v>
      </c>
      <c r="AJ20" s="38">
        <f t="shared" si="28"/>
        <v>5212631.7429181328</v>
      </c>
      <c r="AK20" s="23">
        <f t="shared" si="29"/>
        <v>485000</v>
      </c>
      <c r="AL20" s="23">
        <f t="shared" si="30"/>
        <v>2798.1307332833321</v>
      </c>
      <c r="AM20" s="23">
        <f t="shared" si="31"/>
        <v>34976.634166041651</v>
      </c>
      <c r="AN20" s="37">
        <f t="shared" si="32"/>
        <v>519976.63416604162</v>
      </c>
      <c r="AO20" s="38">
        <f t="shared" si="33"/>
        <v>6759696.2441585409</v>
      </c>
      <c r="AP20" s="23">
        <f t="shared" si="34"/>
        <v>710000</v>
      </c>
      <c r="AQ20" s="23">
        <f t="shared" si="35"/>
        <v>4096.232619858074</v>
      </c>
      <c r="AR20" s="23">
        <f t="shared" si="36"/>
        <v>0</v>
      </c>
      <c r="AS20" s="37">
        <f t="shared" si="37"/>
        <v>710000</v>
      </c>
      <c r="AT20" s="38">
        <f t="shared" si="38"/>
        <v>9230000</v>
      </c>
    </row>
    <row r="21" spans="2:46" ht="20.5" customHeight="1" thickBot="1">
      <c r="B21" s="172"/>
      <c r="C21" s="173"/>
      <c r="D21" s="173"/>
      <c r="E21" s="173"/>
      <c r="F21" s="173"/>
      <c r="G21" s="22">
        <v>1</v>
      </c>
      <c r="H21" s="23">
        <f t="shared" si="0"/>
        <v>217000</v>
      </c>
      <c r="I21" s="23">
        <f>H21/173.33</f>
        <v>1251.947152829862</v>
      </c>
      <c r="J21" s="23">
        <f t="shared" si="2"/>
        <v>7824.6697051866377</v>
      </c>
      <c r="K21" s="36">
        <f t="shared" si="3"/>
        <v>224824.66970518665</v>
      </c>
      <c r="L21" s="23">
        <f t="shared" si="4"/>
        <v>217000</v>
      </c>
      <c r="M21" s="23">
        <f>L21/173.33</f>
        <v>1251.947152829862</v>
      </c>
      <c r="N21" s="23">
        <f t="shared" si="6"/>
        <v>15649.339410373275</v>
      </c>
      <c r="O21" s="37">
        <f t="shared" si="7"/>
        <v>232649.33941037327</v>
      </c>
      <c r="P21" s="38">
        <f t="shared" si="8"/>
        <v>3024441.4123348524</v>
      </c>
      <c r="Q21" s="23">
        <f t="shared" si="9"/>
        <v>232000</v>
      </c>
      <c r="R21" s="23">
        <f>Q21/173.33</f>
        <v>1338.4872786015114</v>
      </c>
      <c r="S21" s="23">
        <f t="shared" si="11"/>
        <v>16731.090982518894</v>
      </c>
      <c r="T21" s="37">
        <f t="shared" si="12"/>
        <v>248731.09098251889</v>
      </c>
      <c r="U21" s="38">
        <f t="shared" si="13"/>
        <v>3233504.1827727454</v>
      </c>
      <c r="V21" s="23">
        <f t="shared" si="14"/>
        <v>253000</v>
      </c>
      <c r="W21" s="23">
        <f>V21/173.33</f>
        <v>1459.6434546818207</v>
      </c>
      <c r="X21" s="23">
        <f t="shared" si="16"/>
        <v>18245.543183522757</v>
      </c>
      <c r="Y21" s="37">
        <f t="shared" si="17"/>
        <v>271245.54318352276</v>
      </c>
      <c r="Z21" s="38">
        <f t="shared" si="18"/>
        <v>3526192.0613857959</v>
      </c>
      <c r="AA21" s="23">
        <f t="shared" si="19"/>
        <v>290000</v>
      </c>
      <c r="AB21" s="23">
        <f>AA21/173.33</f>
        <v>1673.1090982518892</v>
      </c>
      <c r="AC21" s="23">
        <f t="shared" si="21"/>
        <v>20913.863728148615</v>
      </c>
      <c r="AD21" s="37">
        <f t="shared" si="22"/>
        <v>310913.86372814863</v>
      </c>
      <c r="AE21" s="38">
        <f t="shared" si="23"/>
        <v>4041880.2284659324</v>
      </c>
      <c r="AF21" s="23">
        <f t="shared" si="24"/>
        <v>367000</v>
      </c>
      <c r="AG21" s="23">
        <f>AF21/173.33</f>
        <v>2117.3484105463567</v>
      </c>
      <c r="AH21" s="23">
        <f t="shared" si="26"/>
        <v>26466.855131829463</v>
      </c>
      <c r="AI21" s="37">
        <f t="shared" si="27"/>
        <v>393466.85513182945</v>
      </c>
      <c r="AJ21" s="38">
        <f t="shared" si="28"/>
        <v>5115069.1167137828</v>
      </c>
      <c r="AK21" s="23">
        <f t="shared" si="29"/>
        <v>475000</v>
      </c>
      <c r="AL21" s="23">
        <f>AK21/173.33</f>
        <v>2740.4373161022327</v>
      </c>
      <c r="AM21" s="23">
        <f t="shared" si="31"/>
        <v>34255.466451277905</v>
      </c>
      <c r="AN21" s="37">
        <f t="shared" si="32"/>
        <v>509255.4664512779</v>
      </c>
      <c r="AO21" s="38">
        <f t="shared" si="33"/>
        <v>6620321.0638666125</v>
      </c>
      <c r="AP21" s="23">
        <f t="shared" si="34"/>
        <v>695000</v>
      </c>
      <c r="AQ21" s="23">
        <f>AP21/173.33</f>
        <v>4009.6924940864246</v>
      </c>
      <c r="AR21" s="23">
        <f t="shared" si="36"/>
        <v>0</v>
      </c>
      <c r="AS21" s="37">
        <f t="shared" si="37"/>
        <v>695000</v>
      </c>
      <c r="AT21" s="38">
        <f t="shared" si="38"/>
        <v>9035000</v>
      </c>
    </row>
    <row r="22" spans="2:46" ht="20.5" thickBot="1">
      <c r="B22" s="186" t="s">
        <v>76</v>
      </c>
      <c r="C22" s="186"/>
      <c r="D22" s="186"/>
      <c r="E22" s="187"/>
      <c r="F22" s="187"/>
      <c r="G22" s="25">
        <v>0</v>
      </c>
      <c r="H22" s="26">
        <v>215000</v>
      </c>
      <c r="I22" s="39">
        <f>H22/173.33</f>
        <v>1240.408469393642</v>
      </c>
      <c r="J22" s="39">
        <f t="shared" si="2"/>
        <v>7752.5529337102626</v>
      </c>
      <c r="K22" s="40">
        <f t="shared" si="3"/>
        <v>222752.55293371025</v>
      </c>
      <c r="L22" s="26">
        <v>215000</v>
      </c>
      <c r="M22" s="39">
        <f>L22/173.33</f>
        <v>1240.408469393642</v>
      </c>
      <c r="N22" s="39">
        <f t="shared" si="6"/>
        <v>15505.105867420525</v>
      </c>
      <c r="O22" s="39">
        <f t="shared" si="7"/>
        <v>230505.10586742053</v>
      </c>
      <c r="P22" s="39">
        <f t="shared" si="8"/>
        <v>2996566.376276467</v>
      </c>
      <c r="Q22" s="39">
        <v>230000</v>
      </c>
      <c r="R22" s="39">
        <f>Q22/173.33</f>
        <v>1326.9485951652916</v>
      </c>
      <c r="S22" s="39">
        <f t="shared" si="11"/>
        <v>16586.857439566145</v>
      </c>
      <c r="T22" s="39">
        <f t="shared" si="12"/>
        <v>246586.85743956614</v>
      </c>
      <c r="U22" s="39">
        <f t="shared" si="13"/>
        <v>3205629.14671436</v>
      </c>
      <c r="V22" s="39">
        <v>250000</v>
      </c>
      <c r="W22" s="39">
        <f>V22/173.33</f>
        <v>1442.3354295274908</v>
      </c>
      <c r="X22" s="39">
        <f t="shared" si="16"/>
        <v>18029.192869093637</v>
      </c>
      <c r="Y22" s="39">
        <f t="shared" si="17"/>
        <v>268029.19286909362</v>
      </c>
      <c r="Z22" s="39">
        <f t="shared" si="18"/>
        <v>3484379.5072982172</v>
      </c>
      <c r="AA22" s="39">
        <v>285000</v>
      </c>
      <c r="AB22" s="39">
        <f>AA22/173.33</f>
        <v>1644.2623896613395</v>
      </c>
      <c r="AC22" s="39">
        <f t="shared" si="21"/>
        <v>20553.279870766746</v>
      </c>
      <c r="AD22" s="39">
        <f t="shared" si="22"/>
        <v>305553.27987076674</v>
      </c>
      <c r="AE22" s="39">
        <f t="shared" si="23"/>
        <v>3972192.6383199678</v>
      </c>
      <c r="AF22" s="39">
        <v>360000</v>
      </c>
      <c r="AG22" s="39">
        <f>AF22/173.33</f>
        <v>2076.963018519587</v>
      </c>
      <c r="AH22" s="39">
        <f t="shared" si="26"/>
        <v>25962.037731494838</v>
      </c>
      <c r="AI22" s="39">
        <f t="shared" si="27"/>
        <v>385962.03773149481</v>
      </c>
      <c r="AJ22" s="39">
        <f t="shared" si="28"/>
        <v>5017506.4905094327</v>
      </c>
      <c r="AK22" s="39">
        <v>465000</v>
      </c>
      <c r="AL22" s="39">
        <f>AK22/173.33</f>
        <v>2682.7438989211328</v>
      </c>
      <c r="AM22" s="39">
        <f t="shared" si="31"/>
        <v>33534.29873651416</v>
      </c>
      <c r="AN22" s="39">
        <f t="shared" si="32"/>
        <v>498534.29873651417</v>
      </c>
      <c r="AO22" s="39">
        <f t="shared" si="33"/>
        <v>6480945.8835746842</v>
      </c>
      <c r="AP22" s="39">
        <v>680000</v>
      </c>
      <c r="AQ22" s="39">
        <f>AP22/173.33</f>
        <v>3923.1523683147748</v>
      </c>
      <c r="AR22" s="39">
        <f t="shared" si="36"/>
        <v>0</v>
      </c>
      <c r="AS22" s="39">
        <f t="shared" si="37"/>
        <v>680000</v>
      </c>
      <c r="AT22" s="39">
        <f t="shared" si="38"/>
        <v>8840000</v>
      </c>
    </row>
    <row r="23" spans="2:46" ht="20.5" thickBot="1">
      <c r="B23" s="165" t="s">
        <v>68</v>
      </c>
      <c r="C23" s="165"/>
      <c r="D23" s="165"/>
      <c r="E23" s="165"/>
      <c r="F23" s="165"/>
      <c r="G23" s="28">
        <v>-1</v>
      </c>
      <c r="H23" s="27"/>
      <c r="I23" s="27"/>
      <c r="J23" s="27"/>
      <c r="K23" s="41"/>
      <c r="L23" s="106">
        <f>L22-L$6</f>
        <v>215000</v>
      </c>
      <c r="M23" s="106" t="s">
        <v>69</v>
      </c>
      <c r="N23" s="106"/>
      <c r="O23" s="107"/>
      <c r="P23" s="102">
        <f t="shared" ref="P23:P31" si="39">O23*P$5</f>
        <v>0</v>
      </c>
      <c r="Q23" s="23">
        <f>Q22-Q$6</f>
        <v>228000</v>
      </c>
      <c r="R23" s="23">
        <f>Q23/173.33</f>
        <v>1315.4099117290716</v>
      </c>
      <c r="S23" s="23">
        <f t="shared" si="11"/>
        <v>16442.623896613397</v>
      </c>
      <c r="T23" s="37">
        <f t="shared" ref="T23:T29" si="40">Q23+S23</f>
        <v>244442.6238966134</v>
      </c>
      <c r="U23" s="38">
        <f t="shared" ref="U23:U31" si="41">T23*U$5</f>
        <v>3177754.1106559741</v>
      </c>
      <c r="V23" s="23">
        <f>V22-V$6</f>
        <v>247000</v>
      </c>
      <c r="W23" s="23">
        <f>V23/173.33</f>
        <v>1425.0274043731608</v>
      </c>
      <c r="X23" s="23">
        <f t="shared" si="16"/>
        <v>17812.842554664508</v>
      </c>
      <c r="Y23" s="37">
        <f t="shared" ref="Y23:Y31" si="42">V23+X23</f>
        <v>264812.84255466453</v>
      </c>
      <c r="Z23" s="38">
        <f t="shared" ref="Z23:Z31" si="43">Y23*Z$5</f>
        <v>3442566.9532106388</v>
      </c>
      <c r="AA23" s="23">
        <f>AA22-AA$6</f>
        <v>280000</v>
      </c>
      <c r="AB23" s="23">
        <f>AA23/173.33</f>
        <v>1615.4156810707898</v>
      </c>
      <c r="AC23" s="23">
        <f t="shared" si="21"/>
        <v>20192.696013384873</v>
      </c>
      <c r="AD23" s="37">
        <f t="shared" ref="AD23:AD31" si="44">AA23+AC23</f>
        <v>300192.69601338485</v>
      </c>
      <c r="AE23" s="38">
        <f t="shared" ref="AE23:AE31" si="45">AD23*AE$5</f>
        <v>3902505.0481740031</v>
      </c>
      <c r="AF23" s="23">
        <f>AF22-AF$6</f>
        <v>353000</v>
      </c>
      <c r="AG23" s="23">
        <f>AF23/173.33</f>
        <v>2036.577626492817</v>
      </c>
      <c r="AH23" s="23">
        <f t="shared" si="26"/>
        <v>25457.22033116021</v>
      </c>
      <c r="AI23" s="37">
        <f t="shared" ref="AI23:AI31" si="46">AF23+AH23</f>
        <v>378457.22033116024</v>
      </c>
      <c r="AJ23" s="38">
        <f t="shared" ref="AJ23:AJ31" si="47">AI23*AJ$5</f>
        <v>4919943.8643050827</v>
      </c>
      <c r="AK23" s="23">
        <f>AK22-AK$6</f>
        <v>455000</v>
      </c>
      <c r="AL23" s="23">
        <f>AK23/173.33</f>
        <v>2625.0504817400333</v>
      </c>
      <c r="AM23" s="23">
        <f t="shared" si="31"/>
        <v>32813.131021750414</v>
      </c>
      <c r="AN23" s="37">
        <f t="shared" ref="AN23:AN31" si="48">AK23+AM23</f>
        <v>487813.13102175039</v>
      </c>
      <c r="AO23" s="38">
        <f t="shared" ref="AO23:AO31" si="49">AN23*AO$5</f>
        <v>6341570.7032827549</v>
      </c>
      <c r="AP23" s="23">
        <f>AP22-AP$6</f>
        <v>665000</v>
      </c>
      <c r="AQ23" s="23">
        <f>AP23/173.33</f>
        <v>3836.6122425431254</v>
      </c>
      <c r="AR23" s="23">
        <f t="shared" si="36"/>
        <v>0</v>
      </c>
      <c r="AS23" s="37">
        <f t="shared" si="37"/>
        <v>665000</v>
      </c>
      <c r="AT23" s="38">
        <f t="shared" si="38"/>
        <v>8645000</v>
      </c>
    </row>
    <row r="24" spans="2:46" ht="20.5" thickBot="1">
      <c r="B24" s="165"/>
      <c r="C24" s="165"/>
      <c r="D24" s="165"/>
      <c r="E24" s="165"/>
      <c r="F24" s="165"/>
      <c r="G24" s="28">
        <v>-2</v>
      </c>
      <c r="H24" s="27"/>
      <c r="I24" s="27"/>
      <c r="J24" s="27"/>
      <c r="K24" s="41"/>
      <c r="L24" s="106">
        <f t="shared" ref="L24:L31" si="50">L23-L$6</f>
        <v>215000</v>
      </c>
      <c r="M24" s="106"/>
      <c r="N24" s="106"/>
      <c r="O24" s="107"/>
      <c r="P24" s="102">
        <f t="shared" si="39"/>
        <v>0</v>
      </c>
      <c r="Q24" s="23">
        <f t="shared" ref="Q24:Q29" si="51">Q23-Q$6</f>
        <v>226000</v>
      </c>
      <c r="R24" s="23">
        <f t="shared" ref="R24:R29" si="52">Q24/173.33</f>
        <v>1303.8712282928516</v>
      </c>
      <c r="S24" s="23">
        <f t="shared" ref="S24:S29" si="53">R24*1.25*S$5</f>
        <v>16298.390353660645</v>
      </c>
      <c r="T24" s="37">
        <f t="shared" si="40"/>
        <v>242298.39035366065</v>
      </c>
      <c r="U24" s="38">
        <f t="shared" si="41"/>
        <v>3149879.0745975883</v>
      </c>
      <c r="V24" s="23">
        <f t="shared" ref="V24:V31" si="54">V23-V$6</f>
        <v>244000</v>
      </c>
      <c r="W24" s="23">
        <f t="shared" ref="W24:W30" si="55">V24/173.33</f>
        <v>1407.7193792188311</v>
      </c>
      <c r="X24" s="23">
        <f t="shared" ref="X24:X30" si="56">W24*1.25*X$5</f>
        <v>17596.492240235388</v>
      </c>
      <c r="Y24" s="37">
        <f t="shared" si="42"/>
        <v>261596.49224023538</v>
      </c>
      <c r="Z24" s="38">
        <f t="shared" si="43"/>
        <v>3400754.3991230601</v>
      </c>
      <c r="AA24" s="23">
        <f t="shared" ref="AA24:AA31" si="57">AA23-AA$6</f>
        <v>275000</v>
      </c>
      <c r="AB24" s="23">
        <f t="shared" ref="AB24:AB31" si="58">AA24/173.33</f>
        <v>1586.5689724802398</v>
      </c>
      <c r="AC24" s="23">
        <f t="shared" ref="AC24:AC31" si="59">AB24*1.25*AC$5</f>
        <v>19832.112156002997</v>
      </c>
      <c r="AD24" s="37">
        <f t="shared" si="44"/>
        <v>294832.11215600302</v>
      </c>
      <c r="AE24" s="38">
        <f t="shared" si="45"/>
        <v>3832817.458028039</v>
      </c>
      <c r="AF24" s="23">
        <f t="shared" ref="AF24:AF31" si="60">AF23-AF$6</f>
        <v>346000</v>
      </c>
      <c r="AG24" s="23">
        <f t="shared" ref="AG24:AG31" si="61">AF24/173.33</f>
        <v>1996.1922344660472</v>
      </c>
      <c r="AH24" s="23">
        <f t="shared" ref="AH24:AH31" si="62">AG24*1.25*AH$5</f>
        <v>24952.402930825592</v>
      </c>
      <c r="AI24" s="37">
        <f t="shared" si="46"/>
        <v>370952.4029308256</v>
      </c>
      <c r="AJ24" s="38">
        <f t="shared" si="47"/>
        <v>4822381.2381007327</v>
      </c>
      <c r="AK24" s="23">
        <f t="shared" ref="AK24:AK31" si="63">AK23-AK$6</f>
        <v>445000</v>
      </c>
      <c r="AL24" s="23">
        <f t="shared" ref="AL24:AL31" si="64">AK24/173.33</f>
        <v>2567.3570645589334</v>
      </c>
      <c r="AM24" s="23">
        <f t="shared" ref="AM24:AM31" si="65">AL24*1.25*AM$5</f>
        <v>32091.963306986669</v>
      </c>
      <c r="AN24" s="37">
        <f t="shared" si="48"/>
        <v>477091.96330698667</v>
      </c>
      <c r="AO24" s="38">
        <f t="shared" si="49"/>
        <v>6202195.5229908265</v>
      </c>
      <c r="AP24" s="23">
        <f t="shared" ref="AP24:AP31" si="66">AP23-AP$6</f>
        <v>650000</v>
      </c>
      <c r="AQ24" s="23">
        <f t="shared" ref="AQ24:AQ31" si="67">AP24/173.33</f>
        <v>3750.072116771476</v>
      </c>
      <c r="AR24" s="23">
        <f t="shared" si="36"/>
        <v>0</v>
      </c>
      <c r="AS24" s="37">
        <f t="shared" si="37"/>
        <v>650000</v>
      </c>
      <c r="AT24" s="38">
        <f t="shared" si="38"/>
        <v>8450000</v>
      </c>
    </row>
    <row r="25" spans="2:46" ht="20.5" thickBot="1">
      <c r="B25" s="165"/>
      <c r="C25" s="165"/>
      <c r="D25" s="165"/>
      <c r="E25" s="165"/>
      <c r="F25" s="165"/>
      <c r="G25" s="28">
        <v>-3</v>
      </c>
      <c r="H25" s="27"/>
      <c r="I25" s="27"/>
      <c r="J25" s="27"/>
      <c r="K25" s="41"/>
      <c r="L25" s="106">
        <f t="shared" si="50"/>
        <v>215000</v>
      </c>
      <c r="M25" s="106"/>
      <c r="N25" s="106"/>
      <c r="O25" s="107"/>
      <c r="P25" s="102">
        <f t="shared" si="39"/>
        <v>0</v>
      </c>
      <c r="Q25" s="23">
        <f t="shared" si="51"/>
        <v>224000</v>
      </c>
      <c r="R25" s="23">
        <f t="shared" si="52"/>
        <v>1292.3325448566318</v>
      </c>
      <c r="S25" s="23">
        <f t="shared" si="53"/>
        <v>16154.156810707898</v>
      </c>
      <c r="T25" s="37">
        <f t="shared" si="40"/>
        <v>240154.15681070791</v>
      </c>
      <c r="U25" s="38">
        <f t="shared" si="41"/>
        <v>3122004.0385392029</v>
      </c>
      <c r="V25" s="23">
        <f t="shared" si="54"/>
        <v>241000</v>
      </c>
      <c r="W25" s="23">
        <f t="shared" si="55"/>
        <v>1390.4113540645012</v>
      </c>
      <c r="X25" s="23">
        <f t="shared" si="56"/>
        <v>17380.141925806267</v>
      </c>
      <c r="Y25" s="37">
        <f t="shared" si="42"/>
        <v>258380.14192580627</v>
      </c>
      <c r="Z25" s="38">
        <f t="shared" si="43"/>
        <v>3358941.8450354813</v>
      </c>
      <c r="AA25" s="23">
        <f t="shared" si="57"/>
        <v>270000</v>
      </c>
      <c r="AB25" s="23">
        <f t="shared" si="58"/>
        <v>1557.7222638896901</v>
      </c>
      <c r="AC25" s="23">
        <f t="shared" si="59"/>
        <v>19471.528298621128</v>
      </c>
      <c r="AD25" s="37">
        <f t="shared" si="44"/>
        <v>289471.52829862112</v>
      </c>
      <c r="AE25" s="38">
        <f t="shared" si="45"/>
        <v>3763129.8678820748</v>
      </c>
      <c r="AF25" s="23">
        <f t="shared" si="60"/>
        <v>339000</v>
      </c>
      <c r="AG25" s="23">
        <f t="shared" si="61"/>
        <v>1955.8068424392775</v>
      </c>
      <c r="AH25" s="23">
        <f t="shared" si="62"/>
        <v>24447.585530490971</v>
      </c>
      <c r="AI25" s="37">
        <f t="shared" si="46"/>
        <v>363447.58553049096</v>
      </c>
      <c r="AJ25" s="38">
        <f t="shared" si="47"/>
        <v>4724818.6118963826</v>
      </c>
      <c r="AK25" s="23">
        <f t="shared" si="63"/>
        <v>435000</v>
      </c>
      <c r="AL25" s="23">
        <f t="shared" si="64"/>
        <v>2509.663647377834</v>
      </c>
      <c r="AM25" s="23">
        <f t="shared" si="65"/>
        <v>31370.795592222927</v>
      </c>
      <c r="AN25" s="37">
        <f t="shared" si="48"/>
        <v>466370.79559222294</v>
      </c>
      <c r="AO25" s="38">
        <f t="shared" si="49"/>
        <v>6062820.3426988982</v>
      </c>
      <c r="AP25" s="23">
        <f t="shared" si="66"/>
        <v>635000</v>
      </c>
      <c r="AQ25" s="23">
        <f t="shared" si="67"/>
        <v>3663.5319909998266</v>
      </c>
      <c r="AR25" s="23">
        <f t="shared" si="36"/>
        <v>0</v>
      </c>
      <c r="AS25" s="37">
        <f t="shared" si="37"/>
        <v>635000</v>
      </c>
      <c r="AT25" s="38">
        <f t="shared" si="38"/>
        <v>8255000</v>
      </c>
    </row>
    <row r="26" spans="2:46" ht="20.5" thickBot="1">
      <c r="B26" s="165"/>
      <c r="C26" s="165"/>
      <c r="D26" s="165"/>
      <c r="E26" s="165"/>
      <c r="F26" s="165"/>
      <c r="G26" s="28">
        <v>-4</v>
      </c>
      <c r="H26" s="27"/>
      <c r="I26" s="27"/>
      <c r="J26" s="27"/>
      <c r="K26" s="41"/>
      <c r="L26" s="106">
        <f t="shared" si="50"/>
        <v>215000</v>
      </c>
      <c r="M26" s="106"/>
      <c r="N26" s="106"/>
      <c r="O26" s="107"/>
      <c r="P26" s="102">
        <f t="shared" si="39"/>
        <v>0</v>
      </c>
      <c r="Q26" s="23">
        <f t="shared" si="51"/>
        <v>222000</v>
      </c>
      <c r="R26" s="23">
        <f t="shared" si="52"/>
        <v>1280.7938614204118</v>
      </c>
      <c r="S26" s="23">
        <f t="shared" si="53"/>
        <v>16009.923267755148</v>
      </c>
      <c r="T26" s="37">
        <f t="shared" si="40"/>
        <v>238009.92326775513</v>
      </c>
      <c r="U26" s="38">
        <f t="shared" si="41"/>
        <v>3094129.0024808166</v>
      </c>
      <c r="V26" s="23">
        <f t="shared" si="54"/>
        <v>238000</v>
      </c>
      <c r="W26" s="23">
        <f t="shared" si="55"/>
        <v>1373.1033289101713</v>
      </c>
      <c r="X26" s="23">
        <f t="shared" si="56"/>
        <v>17163.791611377143</v>
      </c>
      <c r="Y26" s="37">
        <f t="shared" si="42"/>
        <v>255163.79161137715</v>
      </c>
      <c r="Z26" s="38">
        <f t="shared" si="43"/>
        <v>3317129.2909479029</v>
      </c>
      <c r="AA26" s="23">
        <f t="shared" si="57"/>
        <v>265000</v>
      </c>
      <c r="AB26" s="23">
        <f t="shared" si="58"/>
        <v>1528.8755552991402</v>
      </c>
      <c r="AC26" s="23">
        <f t="shared" si="59"/>
        <v>19110.944441239255</v>
      </c>
      <c r="AD26" s="37">
        <f t="shared" si="44"/>
        <v>284110.94444123923</v>
      </c>
      <c r="AE26" s="38">
        <f t="shared" si="45"/>
        <v>3693442.2777361101</v>
      </c>
      <c r="AF26" s="23">
        <f t="shared" si="60"/>
        <v>332000</v>
      </c>
      <c r="AG26" s="23">
        <f t="shared" si="61"/>
        <v>1915.4214504125077</v>
      </c>
      <c r="AH26" s="23">
        <f t="shared" si="62"/>
        <v>23942.768130156346</v>
      </c>
      <c r="AI26" s="37">
        <f t="shared" si="46"/>
        <v>355942.76813015633</v>
      </c>
      <c r="AJ26" s="38">
        <f t="shared" si="47"/>
        <v>4627255.9856920326</v>
      </c>
      <c r="AK26" s="23">
        <f t="shared" si="63"/>
        <v>425000</v>
      </c>
      <c r="AL26" s="23">
        <f t="shared" si="64"/>
        <v>2451.9702301967345</v>
      </c>
      <c r="AM26" s="23">
        <f t="shared" si="65"/>
        <v>30649.627877459177</v>
      </c>
      <c r="AN26" s="37">
        <f t="shared" si="48"/>
        <v>455649.62787745916</v>
      </c>
      <c r="AO26" s="38">
        <f t="shared" si="49"/>
        <v>5923445.1624069689</v>
      </c>
      <c r="AP26" s="23">
        <f t="shared" si="66"/>
        <v>620000</v>
      </c>
      <c r="AQ26" s="23">
        <f t="shared" si="67"/>
        <v>3576.9918652281772</v>
      </c>
      <c r="AR26" s="23">
        <f t="shared" si="36"/>
        <v>0</v>
      </c>
      <c r="AS26" s="37">
        <f t="shared" si="37"/>
        <v>620000</v>
      </c>
      <c r="AT26" s="38">
        <f t="shared" si="38"/>
        <v>8060000</v>
      </c>
    </row>
    <row r="27" spans="2:46" ht="20.5" thickBot="1">
      <c r="B27" s="165"/>
      <c r="C27" s="165"/>
      <c r="D27" s="165"/>
      <c r="E27" s="165"/>
      <c r="F27" s="165"/>
      <c r="G27" s="28">
        <v>-5</v>
      </c>
      <c r="H27" s="27"/>
      <c r="I27" s="27"/>
      <c r="J27" s="27"/>
      <c r="K27" s="41"/>
      <c r="L27" s="106">
        <f t="shared" si="50"/>
        <v>215000</v>
      </c>
      <c r="M27" s="106"/>
      <c r="N27" s="106"/>
      <c r="O27" s="107"/>
      <c r="P27" s="102">
        <f t="shared" si="39"/>
        <v>0</v>
      </c>
      <c r="Q27" s="23">
        <f t="shared" si="51"/>
        <v>220000</v>
      </c>
      <c r="R27" s="23">
        <f t="shared" si="52"/>
        <v>1269.255177984192</v>
      </c>
      <c r="S27" s="23">
        <f t="shared" si="53"/>
        <v>15865.6897248024</v>
      </c>
      <c r="T27" s="37">
        <f t="shared" si="40"/>
        <v>235865.68972480239</v>
      </c>
      <c r="U27" s="38">
        <f t="shared" si="41"/>
        <v>3066253.9664224312</v>
      </c>
      <c r="V27" s="23">
        <f t="shared" si="54"/>
        <v>235000</v>
      </c>
      <c r="W27" s="23">
        <f t="shared" si="55"/>
        <v>1355.7953037558414</v>
      </c>
      <c r="X27" s="23">
        <f t="shared" si="56"/>
        <v>16947.441296948018</v>
      </c>
      <c r="Y27" s="37">
        <f t="shared" si="42"/>
        <v>251947.441296948</v>
      </c>
      <c r="Z27" s="38">
        <f t="shared" si="43"/>
        <v>3275316.7368603242</v>
      </c>
      <c r="AA27" s="23">
        <f t="shared" si="57"/>
        <v>260000</v>
      </c>
      <c r="AB27" s="23">
        <f t="shared" si="58"/>
        <v>1500.0288467085904</v>
      </c>
      <c r="AC27" s="23">
        <f t="shared" si="59"/>
        <v>18750.360583857379</v>
      </c>
      <c r="AD27" s="37">
        <f t="shared" si="44"/>
        <v>278750.3605838574</v>
      </c>
      <c r="AE27" s="38">
        <f t="shared" si="45"/>
        <v>3623754.6875901464</v>
      </c>
      <c r="AF27" s="23">
        <f t="shared" si="60"/>
        <v>325000</v>
      </c>
      <c r="AG27" s="23">
        <f t="shared" si="61"/>
        <v>1875.036058385738</v>
      </c>
      <c r="AH27" s="23">
        <f t="shared" si="62"/>
        <v>23437.950729821721</v>
      </c>
      <c r="AI27" s="37">
        <f t="shared" si="46"/>
        <v>348437.95072982169</v>
      </c>
      <c r="AJ27" s="38">
        <f t="shared" si="47"/>
        <v>4529693.3594876816</v>
      </c>
      <c r="AK27" s="23">
        <f t="shared" si="63"/>
        <v>415000</v>
      </c>
      <c r="AL27" s="23">
        <f t="shared" si="64"/>
        <v>2394.2768130156346</v>
      </c>
      <c r="AM27" s="23">
        <f t="shared" si="65"/>
        <v>29928.460162695432</v>
      </c>
      <c r="AN27" s="37">
        <f t="shared" si="48"/>
        <v>444928.46016269544</v>
      </c>
      <c r="AO27" s="38">
        <f t="shared" si="49"/>
        <v>5784069.9821150405</v>
      </c>
      <c r="AP27" s="23">
        <f t="shared" si="66"/>
        <v>605000</v>
      </c>
      <c r="AQ27" s="23">
        <f t="shared" si="67"/>
        <v>3490.4517394565278</v>
      </c>
      <c r="AR27" s="23">
        <f t="shared" si="36"/>
        <v>0</v>
      </c>
      <c r="AS27" s="37">
        <f t="shared" si="37"/>
        <v>605000</v>
      </c>
      <c r="AT27" s="38">
        <f t="shared" si="38"/>
        <v>7865000</v>
      </c>
    </row>
    <row r="28" spans="2:46" ht="20.5" thickBot="1">
      <c r="B28" s="165"/>
      <c r="C28" s="165"/>
      <c r="D28" s="165"/>
      <c r="E28" s="165"/>
      <c r="F28" s="165"/>
      <c r="G28" s="28">
        <v>-6</v>
      </c>
      <c r="H28" s="27"/>
      <c r="I28" s="27"/>
      <c r="J28" s="27"/>
      <c r="K28" s="41"/>
      <c r="L28" s="106">
        <f t="shared" si="50"/>
        <v>215000</v>
      </c>
      <c r="M28" s="106"/>
      <c r="N28" s="106"/>
      <c r="O28" s="107"/>
      <c r="P28" s="102">
        <f t="shared" si="39"/>
        <v>0</v>
      </c>
      <c r="Q28" s="23">
        <f t="shared" si="51"/>
        <v>218000</v>
      </c>
      <c r="R28" s="23">
        <f t="shared" si="52"/>
        <v>1257.7164945479719</v>
      </c>
      <c r="S28" s="23">
        <f t="shared" si="53"/>
        <v>15721.456181849648</v>
      </c>
      <c r="T28" s="37">
        <f t="shared" si="40"/>
        <v>233721.45618184964</v>
      </c>
      <c r="U28" s="38">
        <f t="shared" si="41"/>
        <v>3038378.9303640453</v>
      </c>
      <c r="V28" s="23">
        <f t="shared" si="54"/>
        <v>232000</v>
      </c>
      <c r="W28" s="23">
        <f t="shared" si="55"/>
        <v>1338.4872786015114</v>
      </c>
      <c r="X28" s="23">
        <f t="shared" si="56"/>
        <v>16731.090982518894</v>
      </c>
      <c r="Y28" s="37">
        <f t="shared" si="42"/>
        <v>248731.09098251889</v>
      </c>
      <c r="Z28" s="38">
        <f t="shared" si="43"/>
        <v>3233504.1827727454</v>
      </c>
      <c r="AA28" s="23">
        <f t="shared" si="57"/>
        <v>255000</v>
      </c>
      <c r="AB28" s="23">
        <f t="shared" si="58"/>
        <v>1471.1821381180407</v>
      </c>
      <c r="AC28" s="23">
        <f t="shared" si="59"/>
        <v>18389.776726475509</v>
      </c>
      <c r="AD28" s="37">
        <f t="shared" si="44"/>
        <v>273389.77672647551</v>
      </c>
      <c r="AE28" s="38">
        <f t="shared" si="45"/>
        <v>3554067.0974441818</v>
      </c>
      <c r="AF28" s="23">
        <f t="shared" si="60"/>
        <v>318000</v>
      </c>
      <c r="AG28" s="23">
        <f t="shared" si="61"/>
        <v>1834.6506663589682</v>
      </c>
      <c r="AH28" s="23">
        <f t="shared" si="62"/>
        <v>22933.133329487104</v>
      </c>
      <c r="AI28" s="37">
        <f t="shared" si="46"/>
        <v>340933.13332948711</v>
      </c>
      <c r="AJ28" s="38">
        <f t="shared" si="47"/>
        <v>4432130.7332833325</v>
      </c>
      <c r="AK28" s="23">
        <f t="shared" si="63"/>
        <v>405000</v>
      </c>
      <c r="AL28" s="23">
        <f t="shared" si="64"/>
        <v>2336.5833958345352</v>
      </c>
      <c r="AM28" s="23">
        <f t="shared" si="65"/>
        <v>29207.29244793169</v>
      </c>
      <c r="AN28" s="37">
        <f t="shared" si="48"/>
        <v>434207.29244793172</v>
      </c>
      <c r="AO28" s="38">
        <f t="shared" si="49"/>
        <v>5644694.8018231122</v>
      </c>
      <c r="AP28" s="23">
        <f t="shared" si="66"/>
        <v>590000</v>
      </c>
      <c r="AQ28" s="23">
        <f t="shared" si="67"/>
        <v>3403.9116136848784</v>
      </c>
      <c r="AR28" s="23">
        <f t="shared" si="36"/>
        <v>0</v>
      </c>
      <c r="AS28" s="37">
        <f t="shared" si="37"/>
        <v>590000</v>
      </c>
      <c r="AT28" s="38">
        <f t="shared" si="38"/>
        <v>7670000</v>
      </c>
    </row>
    <row r="29" spans="2:46" ht="20.5" thickBot="1">
      <c r="B29" s="165"/>
      <c r="C29" s="165"/>
      <c r="D29" s="165"/>
      <c r="E29" s="165"/>
      <c r="F29" s="165"/>
      <c r="G29" s="28">
        <v>-7</v>
      </c>
      <c r="H29" s="27"/>
      <c r="I29" s="27"/>
      <c r="J29" s="27"/>
      <c r="K29" s="41"/>
      <c r="L29" s="106">
        <f t="shared" si="50"/>
        <v>215000</v>
      </c>
      <c r="M29" s="106"/>
      <c r="N29" s="106"/>
      <c r="O29" s="107"/>
      <c r="P29" s="102">
        <f t="shared" si="39"/>
        <v>0</v>
      </c>
      <c r="Q29" s="23">
        <f t="shared" si="51"/>
        <v>216000</v>
      </c>
      <c r="R29" s="23">
        <f t="shared" si="52"/>
        <v>1246.1778111117521</v>
      </c>
      <c r="S29" s="23">
        <f t="shared" si="53"/>
        <v>15577.222638896901</v>
      </c>
      <c r="T29" s="37">
        <f t="shared" si="40"/>
        <v>231577.2226388969</v>
      </c>
      <c r="U29" s="38">
        <f t="shared" si="41"/>
        <v>3010503.8943056595</v>
      </c>
      <c r="V29" s="23">
        <f t="shared" si="54"/>
        <v>229000</v>
      </c>
      <c r="W29" s="23">
        <f t="shared" si="55"/>
        <v>1321.1792534471815</v>
      </c>
      <c r="X29" s="23">
        <f t="shared" si="56"/>
        <v>16514.740668089769</v>
      </c>
      <c r="Y29" s="37">
        <f t="shared" si="42"/>
        <v>245514.74066808977</v>
      </c>
      <c r="Z29" s="38">
        <f t="shared" si="43"/>
        <v>3191691.6286851671</v>
      </c>
      <c r="AA29" s="23">
        <f t="shared" si="57"/>
        <v>250000</v>
      </c>
      <c r="AB29" s="23">
        <f t="shared" si="58"/>
        <v>1442.3354295274908</v>
      </c>
      <c r="AC29" s="23">
        <f t="shared" si="59"/>
        <v>18029.192869093637</v>
      </c>
      <c r="AD29" s="37">
        <f t="shared" si="44"/>
        <v>268029.19286909362</v>
      </c>
      <c r="AE29" s="38">
        <f t="shared" si="45"/>
        <v>3484379.5072982172</v>
      </c>
      <c r="AF29" s="23">
        <f t="shared" si="60"/>
        <v>311000</v>
      </c>
      <c r="AG29" s="23">
        <f t="shared" si="61"/>
        <v>1794.2652743321985</v>
      </c>
      <c r="AH29" s="23">
        <f t="shared" si="62"/>
        <v>22428.315929152483</v>
      </c>
      <c r="AI29" s="37">
        <f t="shared" si="46"/>
        <v>333428.31592915248</v>
      </c>
      <c r="AJ29" s="38">
        <f t="shared" si="47"/>
        <v>4334568.1070789825</v>
      </c>
      <c r="AK29" s="23">
        <f t="shared" si="63"/>
        <v>395000</v>
      </c>
      <c r="AL29" s="23">
        <f t="shared" si="64"/>
        <v>2278.8899786534353</v>
      </c>
      <c r="AM29" s="23">
        <f t="shared" si="65"/>
        <v>28486.124733167941</v>
      </c>
      <c r="AN29" s="37">
        <f t="shared" si="48"/>
        <v>423486.12473316793</v>
      </c>
      <c r="AO29" s="38">
        <f t="shared" si="49"/>
        <v>5505319.6215311829</v>
      </c>
      <c r="AP29" s="23">
        <f t="shared" si="66"/>
        <v>575000</v>
      </c>
      <c r="AQ29" s="23">
        <f t="shared" si="67"/>
        <v>3317.371487913229</v>
      </c>
      <c r="AR29" s="23">
        <f t="shared" si="36"/>
        <v>0</v>
      </c>
      <c r="AS29" s="37">
        <f t="shared" si="37"/>
        <v>575000</v>
      </c>
      <c r="AT29" s="38">
        <f t="shared" si="38"/>
        <v>7475000</v>
      </c>
    </row>
    <row r="30" spans="2:46" ht="20.5" thickBot="1">
      <c r="B30" s="165"/>
      <c r="C30" s="165"/>
      <c r="D30" s="165"/>
      <c r="E30" s="165"/>
      <c r="F30" s="165"/>
      <c r="G30" s="28">
        <v>-8</v>
      </c>
      <c r="H30" s="27"/>
      <c r="I30" s="27"/>
      <c r="J30" s="27"/>
      <c r="K30" s="41"/>
      <c r="L30" s="106">
        <f t="shared" si="50"/>
        <v>215000</v>
      </c>
      <c r="M30" s="106"/>
      <c r="N30" s="106"/>
      <c r="O30" s="107"/>
      <c r="P30" s="102">
        <f t="shared" si="39"/>
        <v>0</v>
      </c>
      <c r="Q30" s="106">
        <v>216000</v>
      </c>
      <c r="R30" s="106">
        <v>1246.1778111117521</v>
      </c>
      <c r="S30" s="106">
        <v>15577.222638896901</v>
      </c>
      <c r="T30" s="107">
        <v>231577.2226388969</v>
      </c>
      <c r="U30" s="102">
        <f t="shared" si="41"/>
        <v>3010503.8943056595</v>
      </c>
      <c r="V30" s="103">
        <f>V29-V$6</f>
        <v>226000</v>
      </c>
      <c r="W30" s="103">
        <f t="shared" si="55"/>
        <v>1303.8712282928516</v>
      </c>
      <c r="X30" s="103">
        <f t="shared" si="56"/>
        <v>16298.390353660645</v>
      </c>
      <c r="Y30" s="104">
        <f t="shared" si="42"/>
        <v>242298.39035366065</v>
      </c>
      <c r="Z30" s="38">
        <f t="shared" si="43"/>
        <v>3149879.0745975883</v>
      </c>
      <c r="AA30" s="23">
        <f t="shared" si="57"/>
        <v>245000</v>
      </c>
      <c r="AB30" s="23">
        <f t="shared" si="58"/>
        <v>1413.488720936941</v>
      </c>
      <c r="AC30" s="23">
        <f t="shared" si="59"/>
        <v>17668.609011711764</v>
      </c>
      <c r="AD30" s="37">
        <f t="shared" si="44"/>
        <v>262668.60901171179</v>
      </c>
      <c r="AE30" s="38">
        <f t="shared" si="45"/>
        <v>3414691.917152253</v>
      </c>
      <c r="AF30" s="23">
        <f t="shared" si="60"/>
        <v>304000</v>
      </c>
      <c r="AG30" s="23">
        <f t="shared" si="61"/>
        <v>1753.8798823054287</v>
      </c>
      <c r="AH30" s="23">
        <f t="shared" si="62"/>
        <v>21923.498528817858</v>
      </c>
      <c r="AI30" s="37">
        <f t="shared" si="46"/>
        <v>325923.49852881784</v>
      </c>
      <c r="AJ30" s="38">
        <f t="shared" si="47"/>
        <v>4237005.4808746316</v>
      </c>
      <c r="AK30" s="23">
        <f t="shared" si="63"/>
        <v>385000</v>
      </c>
      <c r="AL30" s="23">
        <f t="shared" si="64"/>
        <v>2221.1965614723358</v>
      </c>
      <c r="AM30" s="23">
        <f t="shared" si="65"/>
        <v>27764.957018404199</v>
      </c>
      <c r="AN30" s="37">
        <f t="shared" si="48"/>
        <v>412764.95701840421</v>
      </c>
      <c r="AO30" s="38">
        <f t="shared" si="49"/>
        <v>5365944.4412392545</v>
      </c>
      <c r="AP30" s="23">
        <f t="shared" si="66"/>
        <v>560000</v>
      </c>
      <c r="AQ30" s="23">
        <f t="shared" si="67"/>
        <v>3230.8313621415796</v>
      </c>
      <c r="AR30" s="23">
        <f t="shared" si="36"/>
        <v>0</v>
      </c>
      <c r="AS30" s="37">
        <f t="shared" si="37"/>
        <v>560000</v>
      </c>
      <c r="AT30" s="38">
        <f t="shared" si="38"/>
        <v>7280000</v>
      </c>
    </row>
    <row r="31" spans="2:46" ht="20.5" thickBot="1">
      <c r="B31" s="165"/>
      <c r="C31" s="165"/>
      <c r="D31" s="165"/>
      <c r="E31" s="165"/>
      <c r="F31" s="165"/>
      <c r="G31" s="28">
        <v>-9</v>
      </c>
      <c r="H31" s="27"/>
      <c r="I31" s="27"/>
      <c r="J31" s="27"/>
      <c r="K31" s="41"/>
      <c r="L31" s="106">
        <f t="shared" si="50"/>
        <v>215000</v>
      </c>
      <c r="M31" s="106"/>
      <c r="N31" s="106"/>
      <c r="O31" s="107"/>
      <c r="P31" s="102">
        <f t="shared" si="39"/>
        <v>0</v>
      </c>
      <c r="Q31" s="106">
        <v>216000</v>
      </c>
      <c r="R31" s="106">
        <v>1246.1778111117521</v>
      </c>
      <c r="S31" s="106">
        <v>15577.222638896901</v>
      </c>
      <c r="T31" s="107">
        <v>231577.2226388969</v>
      </c>
      <c r="U31" s="102">
        <f t="shared" si="41"/>
        <v>3010503.8943056595</v>
      </c>
      <c r="V31" s="106">
        <f t="shared" si="54"/>
        <v>223000</v>
      </c>
      <c r="W31" s="106">
        <f t="shared" ref="W31" si="68">V31/173.33</f>
        <v>1286.5632031385219</v>
      </c>
      <c r="X31" s="106">
        <f t="shared" ref="X31" si="69">W31*1.25*X$5</f>
        <v>16082.040039231524</v>
      </c>
      <c r="Y31" s="107">
        <f t="shared" si="42"/>
        <v>239082.04003923154</v>
      </c>
      <c r="Z31" s="102">
        <f t="shared" si="43"/>
        <v>3108066.52051001</v>
      </c>
      <c r="AA31" s="23">
        <f t="shared" si="57"/>
        <v>240000</v>
      </c>
      <c r="AB31" s="23">
        <f t="shared" si="58"/>
        <v>1384.6420123463911</v>
      </c>
      <c r="AC31" s="23">
        <f t="shared" si="59"/>
        <v>17308.025154329887</v>
      </c>
      <c r="AD31" s="37">
        <f t="shared" si="44"/>
        <v>257308.02515432989</v>
      </c>
      <c r="AE31" s="38">
        <f t="shared" si="45"/>
        <v>3345004.3270062888</v>
      </c>
      <c r="AF31" s="23">
        <f t="shared" si="60"/>
        <v>297000</v>
      </c>
      <c r="AG31" s="23">
        <f t="shared" si="61"/>
        <v>1713.494490278659</v>
      </c>
      <c r="AH31" s="23">
        <f t="shared" si="62"/>
        <v>21418.681128483237</v>
      </c>
      <c r="AI31" s="37">
        <f t="shared" si="46"/>
        <v>318418.68112848327</v>
      </c>
      <c r="AJ31" s="38">
        <f t="shared" si="47"/>
        <v>4139442.8546702825</v>
      </c>
      <c r="AK31" s="23">
        <f t="shared" si="63"/>
        <v>375000</v>
      </c>
      <c r="AL31" s="23">
        <f t="shared" si="64"/>
        <v>2163.5031442912364</v>
      </c>
      <c r="AM31" s="23">
        <f t="shared" si="65"/>
        <v>27043.789303640457</v>
      </c>
      <c r="AN31" s="37">
        <f t="shared" si="48"/>
        <v>402043.78930364049</v>
      </c>
      <c r="AO31" s="38">
        <f t="shared" si="49"/>
        <v>5226569.2609473262</v>
      </c>
      <c r="AP31" s="23">
        <f t="shared" si="66"/>
        <v>545000</v>
      </c>
      <c r="AQ31" s="23">
        <f t="shared" si="67"/>
        <v>3144.2912363699302</v>
      </c>
      <c r="AR31" s="23">
        <f t="shared" si="36"/>
        <v>0</v>
      </c>
      <c r="AS31" s="37">
        <f t="shared" si="37"/>
        <v>545000</v>
      </c>
      <c r="AT31" s="38">
        <f t="shared" si="38"/>
        <v>7085000</v>
      </c>
    </row>
  </sheetData>
  <mergeCells count="32">
    <mergeCell ref="AQ5:AQ6"/>
    <mergeCell ref="AS5:AS6"/>
    <mergeCell ref="AT5:AT6"/>
    <mergeCell ref="AO5:AO6"/>
    <mergeCell ref="B7:F21"/>
    <mergeCell ref="AN5:AN6"/>
    <mergeCell ref="B23:F31"/>
    <mergeCell ref="AG5:AG6"/>
    <mergeCell ref="AI5:AI6"/>
    <mergeCell ref="AJ5:AJ6"/>
    <mergeCell ref="AL5:AL6"/>
    <mergeCell ref="B6:F6"/>
    <mergeCell ref="B22:F22"/>
    <mergeCell ref="I5:I6"/>
    <mergeCell ref="K5:K6"/>
    <mergeCell ref="M5:M6"/>
    <mergeCell ref="B2:F2"/>
    <mergeCell ref="H2:AO2"/>
    <mergeCell ref="B3:F3"/>
    <mergeCell ref="B4:F4"/>
    <mergeCell ref="B5:F5"/>
    <mergeCell ref="O5:O6"/>
    <mergeCell ref="P5:P6"/>
    <mergeCell ref="R5:R6"/>
    <mergeCell ref="T5:T6"/>
    <mergeCell ref="U5:U6"/>
    <mergeCell ref="W5:W6"/>
    <mergeCell ref="Y5:Y6"/>
    <mergeCell ref="Z5:Z6"/>
    <mergeCell ref="AB5:AB6"/>
    <mergeCell ref="AD5:AD6"/>
    <mergeCell ref="AE5:AE6"/>
  </mergeCells>
  <phoneticPr fontId="22"/>
  <pageMargins left="0.7" right="0.7" top="0.75" bottom="0.75" header="0.3" footer="0.3"/>
  <pageSetup paperSize="8"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AB99-5883-43D0-BA66-C7F1AD1AA7CC}">
  <dimension ref="A1:D21"/>
  <sheetViews>
    <sheetView tabSelected="1" workbookViewId="0">
      <selection activeCell="F7" sqref="F7"/>
    </sheetView>
  </sheetViews>
  <sheetFormatPr defaultColWidth="9" defaultRowHeight="24.5" customHeight="1"/>
  <cols>
    <col min="1" max="1" width="29.1640625" style="89" customWidth="1"/>
    <col min="2" max="3" width="34.6640625" style="89" customWidth="1"/>
    <col min="4" max="16384" width="9" style="89"/>
  </cols>
  <sheetData>
    <row r="1" spans="1:4" ht="24.5" customHeight="1">
      <c r="A1" s="193" t="s">
        <v>118</v>
      </c>
      <c r="B1" s="193"/>
      <c r="C1" s="193"/>
    </row>
    <row r="2" spans="1:4" ht="24.5" customHeight="1" thickBot="1">
      <c r="A2" s="194" t="s">
        <v>119</v>
      </c>
      <c r="B2" s="194"/>
      <c r="C2" s="194"/>
    </row>
    <row r="3" spans="1:4" ht="24.5" customHeight="1" thickBot="1">
      <c r="A3" s="90" t="s">
        <v>210</v>
      </c>
      <c r="B3" s="90" t="s">
        <v>120</v>
      </c>
      <c r="C3" s="90" t="s">
        <v>121</v>
      </c>
    </row>
    <row r="4" spans="1:4" ht="24.5" customHeight="1" thickBot="1">
      <c r="A4" s="127" t="s">
        <v>211</v>
      </c>
      <c r="B4" s="127" t="s">
        <v>208</v>
      </c>
      <c r="C4" s="127" t="s">
        <v>209</v>
      </c>
      <c r="D4" s="128" t="s">
        <v>212</v>
      </c>
    </row>
    <row r="5" spans="1:4" ht="24.5" customHeight="1" thickBot="1">
      <c r="A5" s="194" t="s">
        <v>122</v>
      </c>
      <c r="B5" s="194"/>
      <c r="C5" s="194"/>
    </row>
    <row r="6" spans="1:4" ht="24.5" customHeight="1" thickBot="1">
      <c r="A6" s="90" t="s">
        <v>123</v>
      </c>
      <c r="B6" s="195">
        <v>1</v>
      </c>
      <c r="C6" s="196"/>
    </row>
    <row r="7" spans="1:4" ht="24.5" customHeight="1" thickBot="1">
      <c r="A7" s="91"/>
      <c r="B7" s="92" t="s">
        <v>154</v>
      </c>
      <c r="C7" s="93" t="s">
        <v>124</v>
      </c>
    </row>
    <row r="8" spans="1:4" ht="24.5" customHeight="1" thickBot="1">
      <c r="A8" s="90" t="s">
        <v>125</v>
      </c>
      <c r="B8" s="94">
        <v>0.6</v>
      </c>
      <c r="C8" s="95">
        <v>0.4</v>
      </c>
    </row>
    <row r="9" spans="1:4" ht="24.5" customHeight="1" thickBot="1">
      <c r="A9" s="96" t="s">
        <v>126</v>
      </c>
      <c r="B9" s="97">
        <v>0.4</v>
      </c>
      <c r="C9" s="98">
        <v>0.3</v>
      </c>
    </row>
    <row r="10" spans="1:4" ht="24.5" customHeight="1" thickBot="1">
      <c r="A10" s="197" t="s">
        <v>127</v>
      </c>
      <c r="B10" s="197"/>
      <c r="C10" s="197"/>
    </row>
    <row r="11" spans="1:4" ht="24.5" customHeight="1">
      <c r="A11" s="99" t="s">
        <v>128</v>
      </c>
      <c r="B11" s="191" t="s">
        <v>129</v>
      </c>
      <c r="C11" s="192"/>
    </row>
    <row r="12" spans="1:4" ht="24.5" customHeight="1">
      <c r="A12" s="100" t="s">
        <v>130</v>
      </c>
      <c r="B12" s="198" t="s">
        <v>131</v>
      </c>
      <c r="C12" s="199"/>
    </row>
    <row r="13" spans="1:4" ht="24.5" customHeight="1">
      <c r="A13" s="100" t="s">
        <v>132</v>
      </c>
      <c r="B13" s="202"/>
      <c r="C13" s="203"/>
    </row>
    <row r="14" spans="1:4" ht="24.5" customHeight="1" thickBot="1">
      <c r="A14" s="101" t="s">
        <v>133</v>
      </c>
      <c r="B14" s="200"/>
      <c r="C14" s="201"/>
    </row>
    <row r="15" spans="1:4" ht="24.5" customHeight="1" thickBot="1">
      <c r="A15" s="204" t="s">
        <v>134</v>
      </c>
      <c r="B15" s="204"/>
      <c r="C15" s="204"/>
    </row>
    <row r="16" spans="1:4" ht="24.5" customHeight="1">
      <c r="A16" s="99" t="s">
        <v>128</v>
      </c>
      <c r="B16" s="191" t="s">
        <v>135</v>
      </c>
      <c r="C16" s="192"/>
    </row>
    <row r="17" spans="1:3" ht="24.5" customHeight="1">
      <c r="A17" s="100" t="s">
        <v>130</v>
      </c>
      <c r="B17" s="198" t="s">
        <v>136</v>
      </c>
      <c r="C17" s="199"/>
    </row>
    <row r="18" spans="1:3" ht="24.5" customHeight="1">
      <c r="A18" s="100" t="s">
        <v>137</v>
      </c>
      <c r="B18" s="198" t="s">
        <v>138</v>
      </c>
      <c r="C18" s="199"/>
    </row>
    <row r="19" spans="1:3" ht="24.5" customHeight="1">
      <c r="A19" s="100" t="s">
        <v>139</v>
      </c>
      <c r="B19" s="198" t="s">
        <v>140</v>
      </c>
      <c r="C19" s="199"/>
    </row>
    <row r="20" spans="1:3" ht="24.5" customHeight="1">
      <c r="A20" s="100" t="s">
        <v>141</v>
      </c>
      <c r="B20" s="198" t="s">
        <v>142</v>
      </c>
      <c r="C20" s="199"/>
    </row>
    <row r="21" spans="1:3" ht="24.5" customHeight="1" thickBot="1">
      <c r="A21" s="101" t="s">
        <v>143</v>
      </c>
      <c r="B21" s="200" t="s">
        <v>144</v>
      </c>
      <c r="C21" s="201"/>
    </row>
  </sheetData>
  <mergeCells count="16">
    <mergeCell ref="B18:C18"/>
    <mergeCell ref="B19:C19"/>
    <mergeCell ref="B20:C20"/>
    <mergeCell ref="B21:C21"/>
    <mergeCell ref="B12:C12"/>
    <mergeCell ref="B13:C13"/>
    <mergeCell ref="B14:C14"/>
    <mergeCell ref="A15:C15"/>
    <mergeCell ref="B16:C16"/>
    <mergeCell ref="B17:C17"/>
    <mergeCell ref="B11:C11"/>
    <mergeCell ref="A1:C1"/>
    <mergeCell ref="A2:C2"/>
    <mergeCell ref="A5:C5"/>
    <mergeCell ref="B6:C6"/>
    <mergeCell ref="A10:C10"/>
  </mergeCells>
  <phoneticPr fontId="2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740A-37EA-4729-BBE6-B24B5A80B395}">
  <dimension ref="B1:G21"/>
  <sheetViews>
    <sheetView view="pageBreakPreview" topLeftCell="A2" zoomScale="78" zoomScaleNormal="80" workbookViewId="0">
      <selection activeCell="C10" sqref="C10"/>
    </sheetView>
  </sheetViews>
  <sheetFormatPr defaultColWidth="8.83203125" defaultRowHeight="18"/>
  <cols>
    <col min="1" max="1" width="8.83203125" style="79"/>
    <col min="2" max="2" width="13.75" style="79" customWidth="1"/>
    <col min="3" max="3" width="11.1640625" style="79" bestFit="1" customWidth="1"/>
    <col min="4" max="4" width="11.9140625" style="79" customWidth="1"/>
    <col min="5" max="5" width="13.25" style="79" customWidth="1"/>
    <col min="6" max="7" width="12.5" style="79" customWidth="1"/>
    <col min="8" max="16384" width="8.83203125" style="79"/>
  </cols>
  <sheetData>
    <row r="1" spans="2:7" ht="56" customHeight="1" thickBot="1">
      <c r="B1" s="78" t="s">
        <v>107</v>
      </c>
      <c r="D1" s="79" t="s">
        <v>117</v>
      </c>
    </row>
    <row r="2" spans="2:7" ht="20.5" thickBot="1">
      <c r="B2" s="80"/>
      <c r="C2" s="205" t="s">
        <v>190</v>
      </c>
      <c r="D2" s="206"/>
      <c r="E2" s="206"/>
      <c r="F2" s="206"/>
      <c r="G2" s="206"/>
    </row>
    <row r="3" spans="2:7" ht="20.5" thickBot="1">
      <c r="B3" s="45" t="s">
        <v>189</v>
      </c>
      <c r="C3" s="122" t="s">
        <v>177</v>
      </c>
      <c r="D3" s="122" t="s">
        <v>178</v>
      </c>
      <c r="E3" s="122" t="s">
        <v>179</v>
      </c>
      <c r="F3" s="122" t="s">
        <v>180</v>
      </c>
      <c r="G3" s="122" t="s">
        <v>181</v>
      </c>
    </row>
    <row r="4" spans="2:7" ht="20.5" hidden="1" customHeight="1" thickBot="1">
      <c r="B4" s="81" t="s">
        <v>108</v>
      </c>
      <c r="C4" s="82">
        <f>C12*1.8</f>
        <v>387000</v>
      </c>
      <c r="D4" s="82">
        <f t="shared" ref="D4:F4" si="0">D12*1.8</f>
        <v>432000</v>
      </c>
      <c r="E4" s="82">
        <f t="shared" si="0"/>
        <v>522000</v>
      </c>
      <c r="F4" s="82">
        <f t="shared" si="0"/>
        <v>648000</v>
      </c>
      <c r="G4" s="82">
        <f>G12*1.8</f>
        <v>918000</v>
      </c>
    </row>
    <row r="5" spans="2:7" ht="20.5" hidden="1" thickBot="1">
      <c r="B5" s="81" t="s">
        <v>109</v>
      </c>
      <c r="C5" s="82">
        <f>C12*1.7</f>
        <v>365500</v>
      </c>
      <c r="D5" s="82">
        <f t="shared" ref="D5:F5" si="1">D12*1.7</f>
        <v>408000</v>
      </c>
      <c r="E5" s="82">
        <f t="shared" si="1"/>
        <v>493000</v>
      </c>
      <c r="F5" s="82">
        <f t="shared" si="1"/>
        <v>612000</v>
      </c>
      <c r="G5" s="82">
        <f>G12*1.7</f>
        <v>867000</v>
      </c>
    </row>
    <row r="6" spans="2:7" ht="20.5" hidden="1" thickBot="1">
      <c r="B6" s="81" t="s">
        <v>110</v>
      </c>
      <c r="C6" s="82">
        <f>C12*1.6</f>
        <v>344000</v>
      </c>
      <c r="D6" s="82">
        <f t="shared" ref="D6:F6" si="2">D12*1.6</f>
        <v>384000</v>
      </c>
      <c r="E6" s="82">
        <f t="shared" si="2"/>
        <v>464000</v>
      </c>
      <c r="F6" s="82">
        <f t="shared" si="2"/>
        <v>576000</v>
      </c>
      <c r="G6" s="82">
        <f>G12*1.6</f>
        <v>816000</v>
      </c>
    </row>
    <row r="7" spans="2:7" ht="20.5" thickBot="1">
      <c r="B7" s="125" t="s">
        <v>141</v>
      </c>
      <c r="C7" s="82">
        <f>C12*1.5</f>
        <v>322500</v>
      </c>
      <c r="D7" s="82">
        <f t="shared" ref="D7:F7" si="3">D12*1.5</f>
        <v>360000</v>
      </c>
      <c r="E7" s="82">
        <f t="shared" si="3"/>
        <v>435000</v>
      </c>
      <c r="F7" s="82">
        <f t="shared" si="3"/>
        <v>540000</v>
      </c>
      <c r="G7" s="82">
        <f>G12*1.5</f>
        <v>765000</v>
      </c>
    </row>
    <row r="8" spans="2:7" ht="20.5" thickBot="1">
      <c r="B8" s="125" t="s">
        <v>139</v>
      </c>
      <c r="C8" s="82">
        <f>C12*1.4</f>
        <v>301000</v>
      </c>
      <c r="D8" s="82">
        <f t="shared" ref="D8:F8" si="4">D12*1.4</f>
        <v>336000</v>
      </c>
      <c r="E8" s="82">
        <f t="shared" si="4"/>
        <v>406000</v>
      </c>
      <c r="F8" s="82">
        <f t="shared" si="4"/>
        <v>503999.99999999994</v>
      </c>
      <c r="G8" s="82">
        <f>G12*1.4</f>
        <v>714000</v>
      </c>
    </row>
    <row r="9" spans="2:7" ht="20.5" thickBot="1">
      <c r="B9" s="125" t="s">
        <v>137</v>
      </c>
      <c r="C9" s="82">
        <f>C12*1.3</f>
        <v>279500</v>
      </c>
      <c r="D9" s="82">
        <f t="shared" ref="D9:F9" si="5">D12*1.3</f>
        <v>312000</v>
      </c>
      <c r="E9" s="82">
        <f t="shared" si="5"/>
        <v>377000</v>
      </c>
      <c r="F9" s="82">
        <f t="shared" si="5"/>
        <v>468000</v>
      </c>
      <c r="G9" s="82">
        <f>G12*1.3</f>
        <v>663000</v>
      </c>
    </row>
    <row r="10" spans="2:7" ht="20.5" thickBot="1">
      <c r="B10" s="125" t="s">
        <v>182</v>
      </c>
      <c r="C10" s="82">
        <f>C12*1.2</f>
        <v>258000</v>
      </c>
      <c r="D10" s="82">
        <f t="shared" ref="D10:F10" si="6">D12*1.2</f>
        <v>288000</v>
      </c>
      <c r="E10" s="82">
        <f t="shared" si="6"/>
        <v>348000</v>
      </c>
      <c r="F10" s="82">
        <f t="shared" si="6"/>
        <v>432000</v>
      </c>
      <c r="G10" s="82">
        <f>G12*1.2</f>
        <v>612000</v>
      </c>
    </row>
    <row r="11" spans="2:7" ht="20.5" thickBot="1">
      <c r="B11" s="125" t="s">
        <v>183</v>
      </c>
      <c r="C11" s="82">
        <f>C12*1.1</f>
        <v>236500.00000000003</v>
      </c>
      <c r="D11" s="82">
        <f t="shared" ref="D11:F11" si="7">D12*1.1</f>
        <v>264000</v>
      </c>
      <c r="E11" s="82">
        <f t="shared" si="7"/>
        <v>319000</v>
      </c>
      <c r="F11" s="82">
        <f t="shared" si="7"/>
        <v>396000.00000000006</v>
      </c>
      <c r="G11" s="82">
        <f>G12*1.1</f>
        <v>561000</v>
      </c>
    </row>
    <row r="12" spans="2:7" ht="35.4" customHeight="1" thickBot="1">
      <c r="B12" s="124">
        <v>0</v>
      </c>
      <c r="C12" s="83">
        <v>215000</v>
      </c>
      <c r="D12" s="84">
        <v>240000</v>
      </c>
      <c r="E12" s="84">
        <v>290000</v>
      </c>
      <c r="F12" s="84">
        <v>360000</v>
      </c>
      <c r="G12" s="84">
        <v>510000</v>
      </c>
    </row>
    <row r="13" spans="2:7" ht="20.5" customHeight="1" thickBot="1">
      <c r="B13" s="125" t="s">
        <v>111</v>
      </c>
      <c r="C13" s="82">
        <f>C12*0.9</f>
        <v>193500</v>
      </c>
      <c r="D13" s="82">
        <f t="shared" ref="D13:G13" si="8">D12*0.9</f>
        <v>216000</v>
      </c>
      <c r="E13" s="82">
        <f t="shared" si="8"/>
        <v>261000</v>
      </c>
      <c r="F13" s="82">
        <f t="shared" si="8"/>
        <v>324000</v>
      </c>
      <c r="G13" s="82">
        <f t="shared" si="8"/>
        <v>459000</v>
      </c>
    </row>
    <row r="14" spans="2:7" ht="20.5" thickBot="1">
      <c r="B14" s="125" t="s">
        <v>185</v>
      </c>
      <c r="C14" s="82">
        <f>C12*0.8</f>
        <v>172000</v>
      </c>
      <c r="D14" s="82">
        <f t="shared" ref="D14:G14" si="9">D12*0.8</f>
        <v>192000</v>
      </c>
      <c r="E14" s="82">
        <f t="shared" si="9"/>
        <v>232000</v>
      </c>
      <c r="F14" s="82">
        <f t="shared" si="9"/>
        <v>288000</v>
      </c>
      <c r="G14" s="82">
        <f t="shared" si="9"/>
        <v>408000</v>
      </c>
    </row>
    <row r="15" spans="2:7" ht="20.5" thickBot="1">
      <c r="B15" s="125" t="s">
        <v>186</v>
      </c>
      <c r="C15" s="82">
        <f>C12*0.7</f>
        <v>150500</v>
      </c>
      <c r="D15" s="82">
        <f t="shared" ref="D15:G15" si="10">D12*0.7</f>
        <v>168000</v>
      </c>
      <c r="E15" s="82">
        <f t="shared" si="10"/>
        <v>203000</v>
      </c>
      <c r="F15" s="82">
        <f t="shared" si="10"/>
        <v>251999.99999999997</v>
      </c>
      <c r="G15" s="82">
        <f t="shared" si="10"/>
        <v>357000</v>
      </c>
    </row>
    <row r="16" spans="2:7" ht="20.5" thickBot="1">
      <c r="B16" s="125" t="s">
        <v>187</v>
      </c>
      <c r="C16" s="82">
        <f>C12*0.6</f>
        <v>129000</v>
      </c>
      <c r="D16" s="82">
        <f t="shared" ref="D16:G16" si="11">D12*0.6</f>
        <v>144000</v>
      </c>
      <c r="E16" s="82">
        <f t="shared" si="11"/>
        <v>174000</v>
      </c>
      <c r="F16" s="82">
        <f t="shared" si="11"/>
        <v>216000</v>
      </c>
      <c r="G16" s="82">
        <f t="shared" si="11"/>
        <v>306000</v>
      </c>
    </row>
    <row r="17" spans="2:7" ht="20.5" thickBot="1">
      <c r="B17" s="125" t="s">
        <v>184</v>
      </c>
      <c r="C17" s="82">
        <f>C12*0.5</f>
        <v>107500</v>
      </c>
      <c r="D17" s="82">
        <f t="shared" ref="D17:G17" si="12">D12*0.5</f>
        <v>120000</v>
      </c>
      <c r="E17" s="82">
        <f t="shared" si="12"/>
        <v>145000</v>
      </c>
      <c r="F17" s="82">
        <f t="shared" si="12"/>
        <v>180000</v>
      </c>
      <c r="G17" s="82">
        <f t="shared" si="12"/>
        <v>255000</v>
      </c>
    </row>
    <row r="18" spans="2:7" ht="20.5" thickBot="1">
      <c r="B18" s="125" t="s">
        <v>188</v>
      </c>
      <c r="C18" s="82">
        <f>C12*0.4</f>
        <v>86000</v>
      </c>
      <c r="D18" s="82">
        <f t="shared" ref="D18:G18" si="13">D12*0.4</f>
        <v>96000</v>
      </c>
      <c r="E18" s="82">
        <f t="shared" si="13"/>
        <v>116000</v>
      </c>
      <c r="F18" s="82">
        <f t="shared" si="13"/>
        <v>144000</v>
      </c>
      <c r="G18" s="82">
        <f t="shared" si="13"/>
        <v>204000</v>
      </c>
    </row>
    <row r="19" spans="2:7" ht="20.5" thickBot="1">
      <c r="B19" s="85"/>
      <c r="C19" s="82"/>
      <c r="D19" s="82"/>
      <c r="E19" s="82"/>
      <c r="F19" s="82"/>
      <c r="G19" s="82"/>
    </row>
    <row r="20" spans="2:7" ht="20.5" thickBot="1">
      <c r="B20" s="85"/>
      <c r="C20" s="82"/>
      <c r="D20" s="82"/>
      <c r="E20" s="82"/>
      <c r="F20" s="82"/>
      <c r="G20" s="82"/>
    </row>
    <row r="21" spans="2:7" ht="20.5" thickBot="1">
      <c r="B21" s="85"/>
      <c r="C21" s="82"/>
      <c r="D21" s="82"/>
      <c r="E21" s="82"/>
      <c r="F21" s="82"/>
      <c r="G21" s="82"/>
    </row>
  </sheetData>
  <mergeCells count="1">
    <mergeCell ref="C2:G2"/>
  </mergeCells>
  <phoneticPr fontId="22"/>
  <pageMargins left="0.7" right="0.7" top="0.75" bottom="0.75" header="0.3" footer="0.3"/>
  <pageSetup paperSize="8"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53A9-7C06-43BA-8CF6-8CC1E31B357B}">
  <dimension ref="B1:I21"/>
  <sheetViews>
    <sheetView view="pageBreakPreview" zoomScale="68" zoomScaleNormal="80" workbookViewId="0">
      <selection activeCell="I8" sqref="I8"/>
    </sheetView>
  </sheetViews>
  <sheetFormatPr defaultColWidth="8.83203125" defaultRowHeight="18"/>
  <cols>
    <col min="1" max="1" width="8.83203125" style="79"/>
    <col min="2" max="2" width="18.9140625" style="79" customWidth="1"/>
    <col min="3" max="3" width="11.08203125" style="79" bestFit="1" customWidth="1"/>
    <col min="4" max="4" width="11.9140625" style="79" customWidth="1"/>
    <col min="5" max="5" width="11.58203125" style="79" customWidth="1"/>
    <col min="6" max="6" width="13.25" style="79" customWidth="1"/>
    <col min="7" max="7" width="12.6640625" style="79" customWidth="1"/>
    <col min="8" max="14" width="12.5" style="79" customWidth="1"/>
    <col min="15" max="16384" width="8.83203125" style="79"/>
  </cols>
  <sheetData>
    <row r="1" spans="2:9" ht="56" customHeight="1" thickBot="1">
      <c r="B1" s="78" t="s">
        <v>116</v>
      </c>
      <c r="D1" s="79" t="s">
        <v>117</v>
      </c>
    </row>
    <row r="2" spans="2:9" ht="20.5" thickBot="1">
      <c r="B2" s="207" t="s">
        <v>198</v>
      </c>
      <c r="C2" s="208"/>
      <c r="D2" s="208"/>
      <c r="E2" s="208"/>
      <c r="F2" s="208"/>
      <c r="G2" s="208"/>
      <c r="H2" s="208"/>
      <c r="I2" s="126"/>
    </row>
    <row r="3" spans="2:9" ht="20.5" thickBot="1">
      <c r="B3" s="45" t="s">
        <v>199</v>
      </c>
      <c r="C3" s="122" t="s">
        <v>191</v>
      </c>
      <c r="D3" s="122" t="s">
        <v>192</v>
      </c>
      <c r="E3" s="122" t="s">
        <v>193</v>
      </c>
      <c r="F3" s="122" t="s">
        <v>194</v>
      </c>
      <c r="G3" s="122" t="s">
        <v>195</v>
      </c>
      <c r="H3" s="122" t="s">
        <v>196</v>
      </c>
      <c r="I3" s="122" t="s">
        <v>197</v>
      </c>
    </row>
    <row r="4" spans="2:9" s="86" customFormat="1" ht="20.5" hidden="1" thickBot="1">
      <c r="B4" s="81" t="s">
        <v>108</v>
      </c>
      <c r="C4" s="82">
        <f>C12*1.8</f>
        <v>387000</v>
      </c>
      <c r="D4" s="82">
        <f t="shared" ref="D4:H4" si="0">D12*1.8</f>
        <v>414000</v>
      </c>
      <c r="E4" s="82">
        <f t="shared" si="0"/>
        <v>432000</v>
      </c>
      <c r="F4" s="82">
        <f t="shared" si="0"/>
        <v>513000</v>
      </c>
      <c r="G4" s="82">
        <f t="shared" si="0"/>
        <v>648000</v>
      </c>
      <c r="H4" s="82">
        <f t="shared" si="0"/>
        <v>837000</v>
      </c>
      <c r="I4" s="82">
        <f t="shared" ref="I4" si="1">I12*1.8</f>
        <v>1224000</v>
      </c>
    </row>
    <row r="5" spans="2:9" s="86" customFormat="1" ht="20.5" hidden="1" thickBot="1">
      <c r="B5" s="81" t="s">
        <v>109</v>
      </c>
      <c r="C5" s="82">
        <f>C12*1.7</f>
        <v>365500</v>
      </c>
      <c r="D5" s="82">
        <f t="shared" ref="D5:H5" si="2">D12*1.7</f>
        <v>391000</v>
      </c>
      <c r="E5" s="82">
        <f t="shared" si="2"/>
        <v>408000</v>
      </c>
      <c r="F5" s="82">
        <f t="shared" si="2"/>
        <v>484500</v>
      </c>
      <c r="G5" s="82">
        <f t="shared" si="2"/>
        <v>612000</v>
      </c>
      <c r="H5" s="82">
        <f t="shared" si="2"/>
        <v>790500</v>
      </c>
      <c r="I5" s="82">
        <f t="shared" ref="I5" si="3">I12*1.7</f>
        <v>1156000</v>
      </c>
    </row>
    <row r="6" spans="2:9" s="86" customFormat="1" ht="20.5" hidden="1" thickBot="1">
      <c r="B6" s="81" t="s">
        <v>110</v>
      </c>
      <c r="C6" s="82">
        <f>C12*1.6</f>
        <v>344000</v>
      </c>
      <c r="D6" s="82">
        <f t="shared" ref="D6:H6" si="4">D12*1.6</f>
        <v>368000</v>
      </c>
      <c r="E6" s="82">
        <f t="shared" si="4"/>
        <v>384000</v>
      </c>
      <c r="F6" s="82">
        <f t="shared" si="4"/>
        <v>456000</v>
      </c>
      <c r="G6" s="82">
        <f t="shared" si="4"/>
        <v>576000</v>
      </c>
      <c r="H6" s="82">
        <f t="shared" si="4"/>
        <v>744000</v>
      </c>
      <c r="I6" s="82">
        <f t="shared" ref="I6" si="5">I12*1.6</f>
        <v>1088000</v>
      </c>
    </row>
    <row r="7" spans="2:9" s="86" customFormat="1" ht="20.5" thickBot="1">
      <c r="B7" s="125" t="s">
        <v>141</v>
      </c>
      <c r="C7" s="82">
        <f>C12*1.5</f>
        <v>322500</v>
      </c>
      <c r="D7" s="82">
        <f t="shared" ref="D7:H7" si="6">D12*1.5</f>
        <v>345000</v>
      </c>
      <c r="E7" s="82">
        <f t="shared" si="6"/>
        <v>360000</v>
      </c>
      <c r="F7" s="82">
        <f t="shared" si="6"/>
        <v>427500</v>
      </c>
      <c r="G7" s="82">
        <f t="shared" si="6"/>
        <v>540000</v>
      </c>
      <c r="H7" s="82">
        <f t="shared" si="6"/>
        <v>697500</v>
      </c>
      <c r="I7" s="82">
        <f t="shared" ref="I7" si="7">I12*1.5</f>
        <v>1020000</v>
      </c>
    </row>
    <row r="8" spans="2:9" s="86" customFormat="1" ht="20.5" thickBot="1">
      <c r="B8" s="125" t="s">
        <v>139</v>
      </c>
      <c r="C8" s="82">
        <f>C12*1.4</f>
        <v>301000</v>
      </c>
      <c r="D8" s="82">
        <f t="shared" ref="D8:H8" si="8">D12*1.4</f>
        <v>322000</v>
      </c>
      <c r="E8" s="82">
        <f t="shared" si="8"/>
        <v>336000</v>
      </c>
      <c r="F8" s="82">
        <f t="shared" si="8"/>
        <v>399000</v>
      </c>
      <c r="G8" s="82">
        <f t="shared" si="8"/>
        <v>503999.99999999994</v>
      </c>
      <c r="H8" s="82">
        <f t="shared" si="8"/>
        <v>651000</v>
      </c>
      <c r="I8" s="82">
        <f t="shared" ref="I8" si="9">I12*1.4</f>
        <v>951999.99999999988</v>
      </c>
    </row>
    <row r="9" spans="2:9" ht="20.5" customHeight="1" thickBot="1">
      <c r="B9" s="125" t="s">
        <v>137</v>
      </c>
      <c r="C9" s="82">
        <f>C12*1.3</f>
        <v>279500</v>
      </c>
      <c r="D9" s="82">
        <f t="shared" ref="D9:H9" si="10">D12*1.3</f>
        <v>299000</v>
      </c>
      <c r="E9" s="82">
        <f t="shared" si="10"/>
        <v>312000</v>
      </c>
      <c r="F9" s="82">
        <f t="shared" si="10"/>
        <v>370500</v>
      </c>
      <c r="G9" s="82">
        <f t="shared" si="10"/>
        <v>468000</v>
      </c>
      <c r="H9" s="82">
        <f t="shared" si="10"/>
        <v>604500</v>
      </c>
      <c r="I9" s="82">
        <f t="shared" ref="I9" si="11">I12*1.3</f>
        <v>884000</v>
      </c>
    </row>
    <row r="10" spans="2:9" ht="20.5" thickBot="1">
      <c r="B10" s="125" t="s">
        <v>182</v>
      </c>
      <c r="C10" s="82">
        <f>C12*1.2</f>
        <v>258000</v>
      </c>
      <c r="D10" s="82">
        <f t="shared" ref="D10:H10" si="12">D12*1.2</f>
        <v>276000</v>
      </c>
      <c r="E10" s="82">
        <f t="shared" si="12"/>
        <v>288000</v>
      </c>
      <c r="F10" s="82">
        <f t="shared" si="12"/>
        <v>342000</v>
      </c>
      <c r="G10" s="82">
        <f t="shared" si="12"/>
        <v>432000</v>
      </c>
      <c r="H10" s="82">
        <f t="shared" si="12"/>
        <v>558000</v>
      </c>
      <c r="I10" s="82">
        <f t="shared" ref="I10" si="13">I12*1.2</f>
        <v>816000</v>
      </c>
    </row>
    <row r="11" spans="2:9" ht="20.5" thickBot="1">
      <c r="B11" s="125" t="s">
        <v>183</v>
      </c>
      <c r="C11" s="82">
        <f>C12*1.1</f>
        <v>236500.00000000003</v>
      </c>
      <c r="D11" s="82">
        <f t="shared" ref="D11:I11" si="14">D12*1.1</f>
        <v>253000.00000000003</v>
      </c>
      <c r="E11" s="82">
        <f t="shared" si="14"/>
        <v>264000</v>
      </c>
      <c r="F11" s="82">
        <f t="shared" si="14"/>
        <v>313500</v>
      </c>
      <c r="G11" s="82">
        <f t="shared" si="14"/>
        <v>396000.00000000006</v>
      </c>
      <c r="H11" s="82">
        <f t="shared" si="14"/>
        <v>511500.00000000006</v>
      </c>
      <c r="I11" s="82">
        <f t="shared" si="14"/>
        <v>748000.00000000012</v>
      </c>
    </row>
    <row r="12" spans="2:9" ht="20.5" thickBot="1">
      <c r="B12" s="87">
        <v>0</v>
      </c>
      <c r="C12" s="83">
        <v>215000</v>
      </c>
      <c r="D12" s="84">
        <v>230000</v>
      </c>
      <c r="E12" s="84">
        <v>240000</v>
      </c>
      <c r="F12" s="84">
        <v>285000</v>
      </c>
      <c r="G12" s="84">
        <v>360000</v>
      </c>
      <c r="H12" s="84">
        <v>465000</v>
      </c>
      <c r="I12" s="84">
        <v>680000</v>
      </c>
    </row>
    <row r="13" spans="2:9" ht="20.5" thickBot="1">
      <c r="B13" s="81" t="s">
        <v>111</v>
      </c>
      <c r="C13" s="82">
        <f>C11*0.9</f>
        <v>212850.00000000003</v>
      </c>
      <c r="D13" s="82">
        <f t="shared" ref="D13:H13" si="15">D11*0.9</f>
        <v>227700.00000000003</v>
      </c>
      <c r="E13" s="82">
        <f t="shared" si="15"/>
        <v>237600</v>
      </c>
      <c r="F13" s="82">
        <f t="shared" si="15"/>
        <v>282150</v>
      </c>
      <c r="G13" s="82">
        <f t="shared" si="15"/>
        <v>356400.00000000006</v>
      </c>
      <c r="H13" s="82">
        <f t="shared" si="15"/>
        <v>460350.00000000006</v>
      </c>
      <c r="I13" s="82">
        <f t="shared" ref="I13" si="16">I11*0.9</f>
        <v>673200.00000000012</v>
      </c>
    </row>
    <row r="14" spans="2:9" ht="20.5" thickBot="1">
      <c r="B14" s="81" t="s">
        <v>112</v>
      </c>
      <c r="C14" s="82">
        <f>C12*0.8</f>
        <v>172000</v>
      </c>
      <c r="D14" s="82">
        <f t="shared" ref="D14:H14" si="17">D12*0.8</f>
        <v>184000</v>
      </c>
      <c r="E14" s="82">
        <f t="shared" si="17"/>
        <v>192000</v>
      </c>
      <c r="F14" s="82">
        <f t="shared" si="17"/>
        <v>228000</v>
      </c>
      <c r="G14" s="82">
        <f t="shared" si="17"/>
        <v>288000</v>
      </c>
      <c r="H14" s="82">
        <f t="shared" si="17"/>
        <v>372000</v>
      </c>
      <c r="I14" s="82">
        <f t="shared" ref="I14" si="18">I12*0.8</f>
        <v>544000</v>
      </c>
    </row>
    <row r="15" spans="2:9" ht="20.5" thickBot="1">
      <c r="B15" s="81" t="s">
        <v>113</v>
      </c>
      <c r="C15" s="82">
        <f>C12*0.7</f>
        <v>150500</v>
      </c>
      <c r="D15" s="82">
        <f t="shared" ref="D15:H15" si="19">D12*0.7</f>
        <v>161000</v>
      </c>
      <c r="E15" s="82">
        <f t="shared" si="19"/>
        <v>168000</v>
      </c>
      <c r="F15" s="82">
        <f t="shared" si="19"/>
        <v>199500</v>
      </c>
      <c r="G15" s="82">
        <f t="shared" si="19"/>
        <v>251999.99999999997</v>
      </c>
      <c r="H15" s="82">
        <f t="shared" si="19"/>
        <v>325500</v>
      </c>
      <c r="I15" s="82">
        <f t="shared" ref="I15" si="20">I12*0.7</f>
        <v>475999.99999999994</v>
      </c>
    </row>
    <row r="16" spans="2:9" ht="20.5" thickBot="1">
      <c r="B16" s="81" t="s">
        <v>114</v>
      </c>
      <c r="C16" s="82">
        <f>C12*0.6</f>
        <v>129000</v>
      </c>
      <c r="D16" s="82">
        <f t="shared" ref="D16:H16" si="21">D12*0.6</f>
        <v>138000</v>
      </c>
      <c r="E16" s="82">
        <f t="shared" si="21"/>
        <v>144000</v>
      </c>
      <c r="F16" s="82">
        <f t="shared" si="21"/>
        <v>171000</v>
      </c>
      <c r="G16" s="82">
        <f t="shared" si="21"/>
        <v>216000</v>
      </c>
      <c r="H16" s="82">
        <f t="shared" si="21"/>
        <v>279000</v>
      </c>
      <c r="I16" s="82">
        <f t="shared" ref="I16" si="22">I12*0.6</f>
        <v>408000</v>
      </c>
    </row>
    <row r="17" spans="2:9" ht="20.5" thickBot="1">
      <c r="B17" s="81" t="s">
        <v>115</v>
      </c>
      <c r="C17" s="82">
        <f>C12*0.5</f>
        <v>107500</v>
      </c>
      <c r="D17" s="82">
        <f t="shared" ref="D17:H17" si="23">D12*0.5</f>
        <v>115000</v>
      </c>
      <c r="E17" s="82">
        <f t="shared" si="23"/>
        <v>120000</v>
      </c>
      <c r="F17" s="82">
        <f t="shared" si="23"/>
        <v>142500</v>
      </c>
      <c r="G17" s="82">
        <f t="shared" si="23"/>
        <v>180000</v>
      </c>
      <c r="H17" s="82">
        <f t="shared" si="23"/>
        <v>232500</v>
      </c>
      <c r="I17" s="82">
        <f t="shared" ref="I17" si="24">I12*0.5</f>
        <v>340000</v>
      </c>
    </row>
    <row r="18" spans="2:9" ht="20.5" thickBot="1">
      <c r="B18" s="81" t="s">
        <v>159</v>
      </c>
      <c r="C18" s="82">
        <f>C12*0.4</f>
        <v>86000</v>
      </c>
      <c r="D18" s="82">
        <f t="shared" ref="D18:H18" si="25">D12*0.4</f>
        <v>92000</v>
      </c>
      <c r="E18" s="82">
        <f t="shared" si="25"/>
        <v>96000</v>
      </c>
      <c r="F18" s="82">
        <f t="shared" si="25"/>
        <v>114000</v>
      </c>
      <c r="G18" s="82">
        <f t="shared" si="25"/>
        <v>144000</v>
      </c>
      <c r="H18" s="82">
        <f t="shared" si="25"/>
        <v>186000</v>
      </c>
      <c r="I18" s="82">
        <f t="shared" ref="I18" si="26">I12*0.4</f>
        <v>272000</v>
      </c>
    </row>
    <row r="19" spans="2:9" ht="20.5" thickBot="1">
      <c r="B19" s="88"/>
      <c r="C19" s="82"/>
      <c r="D19" s="82"/>
      <c r="E19" s="82"/>
      <c r="F19" s="82"/>
      <c r="G19" s="82"/>
      <c r="H19" s="82"/>
      <c r="I19" s="82"/>
    </row>
    <row r="20" spans="2:9" ht="20.5" thickBot="1">
      <c r="B20" s="88"/>
      <c r="C20" s="82"/>
      <c r="D20" s="82"/>
      <c r="E20" s="82"/>
      <c r="F20" s="82"/>
      <c r="G20" s="82"/>
      <c r="H20" s="82"/>
      <c r="I20" s="82"/>
    </row>
    <row r="21" spans="2:9" ht="20.5" thickBot="1">
      <c r="B21" s="88"/>
      <c r="C21" s="82"/>
      <c r="D21" s="82"/>
      <c r="E21" s="82"/>
      <c r="F21" s="82"/>
      <c r="G21" s="82"/>
      <c r="H21" s="82"/>
      <c r="I21" s="82"/>
    </row>
  </sheetData>
  <mergeCells count="1">
    <mergeCell ref="B2:H2"/>
  </mergeCells>
  <phoneticPr fontId="22"/>
  <pageMargins left="0.7" right="0.7" top="0.75" bottom="0.75" header="0.3" footer="0.3"/>
  <pageSetup paperSize="8" scale="5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0"/>
  <sheetViews>
    <sheetView view="pageBreakPreview" zoomScale="98" zoomScaleNormal="120" workbookViewId="0">
      <selection activeCell="G9" sqref="G9"/>
    </sheetView>
  </sheetViews>
  <sheetFormatPr defaultColWidth="9" defaultRowHeight="18"/>
  <cols>
    <col min="3" max="3" width="13.33203125" customWidth="1"/>
    <col min="4" max="5" width="13.1640625" customWidth="1"/>
  </cols>
  <sheetData>
    <row r="1" spans="2:5" ht="18.5" thickBot="1"/>
    <row r="2" spans="2:5" ht="18" customHeight="1" thickBot="1">
      <c r="B2" s="211" t="s">
        <v>77</v>
      </c>
      <c r="C2" s="111" t="s">
        <v>78</v>
      </c>
      <c r="D2" s="111" t="s">
        <v>79</v>
      </c>
      <c r="E2" s="112" t="s">
        <v>80</v>
      </c>
    </row>
    <row r="3" spans="2:5" ht="32.5" customHeight="1" thickTop="1">
      <c r="B3" s="212"/>
      <c r="C3" s="4" t="s">
        <v>164</v>
      </c>
      <c r="D3" s="5">
        <f>E3*12</f>
        <v>600000</v>
      </c>
      <c r="E3" s="113">
        <v>50000</v>
      </c>
    </row>
    <row r="4" spans="2:5" ht="35" customHeight="1">
      <c r="B4" s="212"/>
      <c r="C4" s="6" t="s">
        <v>163</v>
      </c>
      <c r="D4" s="7">
        <f>E4*12</f>
        <v>240000</v>
      </c>
      <c r="E4" s="114">
        <v>20000</v>
      </c>
    </row>
    <row r="5" spans="2:5" ht="33" customHeight="1">
      <c r="B5" s="212"/>
      <c r="C5" s="109" t="s">
        <v>162</v>
      </c>
      <c r="D5" s="110">
        <f>E5*12</f>
        <v>144000</v>
      </c>
      <c r="E5" s="115">
        <v>12000</v>
      </c>
    </row>
    <row r="6" spans="2:5" ht="33" customHeight="1" thickBot="1">
      <c r="B6" s="213"/>
      <c r="C6" s="116" t="s">
        <v>166</v>
      </c>
      <c r="D6" s="117">
        <f>E6*12</f>
        <v>60000</v>
      </c>
      <c r="E6" s="118">
        <v>5000</v>
      </c>
    </row>
    <row r="9" spans="2:5">
      <c r="B9" s="209" t="s">
        <v>81</v>
      </c>
      <c r="C9" s="2" t="s">
        <v>20</v>
      </c>
      <c r="D9" s="2" t="s">
        <v>79</v>
      </c>
      <c r="E9" s="3" t="s">
        <v>80</v>
      </c>
    </row>
    <row r="10" spans="2:5" ht="57.5" customHeight="1">
      <c r="B10" s="210"/>
      <c r="C10" s="8" t="s">
        <v>82</v>
      </c>
      <c r="D10" s="9">
        <f>E10*12</f>
        <v>60000</v>
      </c>
      <c r="E10" s="10">
        <v>5000</v>
      </c>
    </row>
  </sheetData>
  <mergeCells count="2">
    <mergeCell ref="B9:B10"/>
    <mergeCell ref="B2:B6"/>
  </mergeCells>
  <phoneticPr fontId="22"/>
  <pageMargins left="0.7" right="0.7" top="0.75" bottom="0.75" header="0.3" footer="0.3"/>
  <pageSetup paperSize="9" scale="8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3</vt:i4>
      </vt:variant>
    </vt:vector>
  </HeadingPairs>
  <TitlesOfParts>
    <vt:vector size="12" baseType="lpstr">
      <vt:lpstr>運用ルール </vt:lpstr>
      <vt:lpstr>等級表 </vt:lpstr>
      <vt:lpstr>変動ピッチ　獲得ポイント</vt:lpstr>
      <vt:lpstr>給与テーブル1 </vt:lpstr>
      <vt:lpstr>給与テーブル2</vt:lpstr>
      <vt:lpstr>インセンティブ</vt:lpstr>
      <vt:lpstr>賞与絶対査定給与テーブル1</vt:lpstr>
      <vt:lpstr>賞与絶対査定給与テーブル2</vt:lpstr>
      <vt:lpstr>手当</vt:lpstr>
      <vt:lpstr>手当!Print_Area</vt:lpstr>
      <vt:lpstr>'等級表 '!Print_Area</vt:lpstr>
      <vt:lpstr>'変動ピッチ　獲得ポイント'!Print_Area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SusumuHaneishi</cp:lastModifiedBy>
  <dcterms:created xsi:type="dcterms:W3CDTF">2025-10-02T12:02:00Z</dcterms:created>
  <dcterms:modified xsi:type="dcterms:W3CDTF">2026-02-04T04:03:02Z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E6112CA2EE1348D1B0EEA685F0A73C00</vt:lpwstr>
  </property>
  <property fmtid="{D5CDD505-2E9C-101B-9397-08002B2CF9AE}" pid="3" name="KSOProductBuildVer">
    <vt:lpwstr>1041-11.2.0.10707</vt:lpwstr>
  </property>
</Properties>
</file>