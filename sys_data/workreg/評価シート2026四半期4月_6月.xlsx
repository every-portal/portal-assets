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lumin\Desktop\"/>
    </mc:Choice>
  </mc:AlternateContent>
  <xr:revisionPtr revIDLastSave="0" documentId="13_ncr:1_{397E0DC8-9534-4BAA-9D71-84DAE2E0AAFD}" xr6:coauthVersionLast="47" xr6:coauthVersionMax="47" xr10:uidLastSave="{00000000-0000-0000-0000-000000000000}"/>
  <bookViews>
    <workbookView xWindow="-98" yWindow="-98" windowWidth="20715" windowHeight="13155" activeTab="1" xr2:uid="{00000000-000D-0000-FFFF-FFFF00000000}"/>
  </bookViews>
  <sheets>
    <sheet name="メンバー（入力例)" sheetId="11" r:id="rId1"/>
    <sheet name="4月" sheetId="5" r:id="rId2"/>
    <sheet name="5月" sheetId="9" r:id="rId3"/>
    <sheet name="6月" sheetId="10" r:id="rId4"/>
    <sheet name="メンバー第1四半期合計" sheetId="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8" l="1" a="1"/>
  <c r="I19" i="8" s="1"/>
  <c r="I17" i="8" a="1"/>
  <c r="I17" i="8" s="1"/>
  <c r="Y21" i="11"/>
  <c r="Y17" i="11"/>
  <c r="Y13" i="11"/>
  <c r="Y9" i="11"/>
  <c r="AA5" i="11"/>
  <c r="Y5" i="11"/>
  <c r="AA5" i="8"/>
  <c r="Y5" i="8"/>
  <c r="Y9" i="8"/>
  <c r="Y13" i="8"/>
  <c r="Y17" i="8"/>
  <c r="Y21" i="8"/>
  <c r="Y9" i="10"/>
  <c r="Y17" i="10"/>
  <c r="Y5" i="9"/>
  <c r="AA5" i="9" s="1"/>
  <c r="T26" i="8" s="1"/>
  <c r="Y9" i="9"/>
  <c r="Y13" i="9"/>
  <c r="Y17" i="9"/>
  <c r="Y21" i="9"/>
  <c r="Y5" i="5"/>
  <c r="Y9" i="5"/>
  <c r="Y13" i="5"/>
  <c r="Y17" i="5"/>
  <c r="Y21" i="5"/>
  <c r="Y5" i="10"/>
  <c r="Y13" i="10"/>
  <c r="H13" i="8"/>
  <c r="H9" i="8"/>
  <c r="H21" i="8"/>
  <c r="H5" i="8"/>
  <c r="Y21" i="10"/>
  <c r="AA5" i="10" l="1"/>
  <c r="V26" i="8" s="1"/>
  <c r="AA5" i="5"/>
  <c r="R26" i="8" s="1"/>
  <c r="X26"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<sst xmlns="http://schemas.openxmlformats.org/spreadsheetml/2006/main" count="304" uniqueCount="82">
  <si>
    <t>部門ミッション・課題</t>
  </si>
  <si>
    <t>個人目標
(評価者　記入)</t>
  </si>
  <si>
    <t>結果</t>
  </si>
  <si>
    <t>基準点</t>
  </si>
  <si>
    <t>基準点
結果</t>
  </si>
  <si>
    <t>重要度</t>
  </si>
  <si>
    <t>評価点</t>
  </si>
  <si>
    <t>合計
評価点</t>
  </si>
  <si>
    <t>自己分析コメント</t>
  </si>
  <si>
    <t>部門課題・戦略に沿った目標</t>
  </si>
  <si>
    <t>①</t>
  </si>
  <si>
    <t>75未満</t>
  </si>
  <si>
    <t>120以上</t>
  </si>
  <si>
    <t>②</t>
  </si>
  <si>
    <t>③</t>
  </si>
  <si>
    <t>④</t>
  </si>
  <si>
    <t>①</t>
    <phoneticPr fontId="10"/>
  </si>
  <si>
    <t>②</t>
    <phoneticPr fontId="10"/>
  </si>
  <si>
    <t>③</t>
    <phoneticPr fontId="10"/>
  </si>
  <si>
    <t>④</t>
    <phoneticPr fontId="10"/>
  </si>
  <si>
    <t>※【1月】【2月】【3月】【ブロック長第1四半期合計】のシート内　オレンジバックの箇所のみ入力してください。</t>
    <rPh sb="31" eb="32">
      <t>ナイ</t>
    </rPh>
    <rPh sb="41" eb="43">
      <t>カショ</t>
    </rPh>
    <rPh sb="45" eb="47">
      <t>ニュウリョク</t>
    </rPh>
    <phoneticPr fontId="10"/>
  </si>
  <si>
    <t>毎月の個人売上目標達成</t>
    <phoneticPr fontId="10"/>
  </si>
  <si>
    <t>修理単価の向上</t>
    <phoneticPr fontId="10"/>
  </si>
  <si>
    <t>⑤</t>
    <phoneticPr fontId="10"/>
  </si>
  <si>
    <t>50未満</t>
  </si>
  <si>
    <t>300以上</t>
  </si>
  <si>
    <t>80件以上</t>
  </si>
  <si>
    <t>（P0.C0）</t>
  </si>
  <si>
    <t>（P5.C1）</t>
  </si>
  <si>
    <t>（P10.C2）</t>
  </si>
  <si>
    <t>（P15.C4）</t>
  </si>
  <si>
    <t>（P20.C6）</t>
  </si>
  <si>
    <t>（P25.C8）</t>
  </si>
  <si>
    <t>（P30.C10）</t>
  </si>
  <si>
    <t>（P35.C15）</t>
  </si>
  <si>
    <t>（P40.C20）</t>
  </si>
  <si>
    <t>（P45.C25）</t>
  </si>
  <si>
    <t>（P50.C30）</t>
  </si>
  <si>
    <t>10未満</t>
  </si>
  <si>
    <t>60以上</t>
  </si>
  <si>
    <t>パッキン</t>
    <phoneticPr fontId="10"/>
  </si>
  <si>
    <t>コーティング</t>
    <phoneticPr fontId="10"/>
  </si>
  <si>
    <t>パッキン30件　コーティング0件の場合　基準点0点
※両方達成で達成となる</t>
    <rPh sb="6" eb="7">
      <t>ケン</t>
    </rPh>
    <rPh sb="15" eb="16">
      <t>ケン</t>
    </rPh>
    <rPh sb="17" eb="19">
      <t>バアイ</t>
    </rPh>
    <rPh sb="20" eb="23">
      <t>キジュンテン</t>
    </rPh>
    <rPh sb="24" eb="25">
      <t>テン</t>
    </rPh>
    <rPh sb="27" eb="29">
      <t>リョウホウ</t>
    </rPh>
    <rPh sb="29" eb="31">
      <t>タッセイ</t>
    </rPh>
    <rPh sb="32" eb="34">
      <t>タッセイ</t>
    </rPh>
    <phoneticPr fontId="10"/>
  </si>
  <si>
    <t>店舗日割目標の達成回数÷出勤日数×100＝達成率
(例: 21日出勤の内　18回　日売り目標達成した場合　
18÷21×100＝達成率85.7%→四捨五入して【86%】と入力)
※小数点第1位以下四捨五入</t>
    <rPh sb="9" eb="11">
      <t>カイスウ</t>
    </rPh>
    <rPh sb="12" eb="16">
      <t>シュッキンニッスウ</t>
    </rPh>
    <rPh sb="21" eb="24">
      <t>タッセイリツ</t>
    </rPh>
    <rPh sb="26" eb="27">
      <t>レイ</t>
    </rPh>
    <rPh sb="31" eb="32">
      <t>ニチ</t>
    </rPh>
    <rPh sb="32" eb="34">
      <t>シュッキン</t>
    </rPh>
    <rPh sb="35" eb="36">
      <t>ウチ</t>
    </rPh>
    <rPh sb="39" eb="40">
      <t>カイ</t>
    </rPh>
    <rPh sb="41" eb="43">
      <t>ヒウ</t>
    </rPh>
    <rPh sb="44" eb="46">
      <t>モクヒョウ</t>
    </rPh>
    <rPh sb="46" eb="48">
      <t>タッセイ</t>
    </rPh>
    <rPh sb="50" eb="52">
      <t>バアイ</t>
    </rPh>
    <rPh sb="64" eb="67">
      <t>タッセイリツ</t>
    </rPh>
    <rPh sb="73" eb="77">
      <t>シシャゴニュウ</t>
    </rPh>
    <rPh sb="85" eb="87">
      <t>ニュウリョク</t>
    </rPh>
    <phoneticPr fontId="10"/>
  </si>
  <si>
    <t>点数で評価の場合</t>
    <rPh sb="0" eb="2">
      <t>テンスウ</t>
    </rPh>
    <rPh sb="3" eb="5">
      <t>ヒョウカ</t>
    </rPh>
    <rPh sb="6" eb="8">
      <t>バアイ</t>
    </rPh>
    <phoneticPr fontId="10"/>
  </si>
  <si>
    <t>合計
評価点</t>
    <phoneticPr fontId="10"/>
  </si>
  <si>
    <t>ブロック売上予算達成（組織貢献）
※所属ブロックは四半期開始時に決定。
所属ブロック以外での勤務が40％を超過した場合はブロックの所属するエリアの目標達成率で評価する。
※ブロックエリアの異動"ブロック売上目標達成（組織貢献）
※所属ブロックは四半期開始時に決定。
所属ブロック以外での勤務が40％を超過した場合はブロックの所属するエリアの目標達成率で評価する。
※ブロックエリアの異動があった場合は所属月数で按分評価。</t>
    <rPh sb="6" eb="8">
      <t>ヨサン</t>
    </rPh>
    <phoneticPr fontId="10"/>
  </si>
  <si>
    <t>ブロック予算達成で100% 60点
※新規店舗は初月なし
※閉店店舗は分母から除く
※小数点第1位以下四捨五入※ブロック売上/予算</t>
    <rPh sb="4" eb="6">
      <t>ヨサン</t>
    </rPh>
    <rPh sb="6" eb="8">
      <t>タッセイ</t>
    </rPh>
    <rPh sb="19" eb="23">
      <t>シンキテンポ</t>
    </rPh>
    <rPh sb="24" eb="26">
      <t>ショゲツ</t>
    </rPh>
    <rPh sb="60" eb="62">
      <t>ウリアゲ</t>
    </rPh>
    <rPh sb="63" eb="65">
      <t>ヨサン</t>
    </rPh>
    <phoneticPr fontId="10"/>
  </si>
  <si>
    <t>毎月平均100万円の達成
※小数点第1位以下四捨五入
※当日お渡し以外の修理については、会計担当者の実績になります。
※お渡し予定日は、事前にシフトを確認した上で回答してください。  ※個人売上/100</t>
    <rPh sb="93" eb="97">
      <t>コジンウリアゲ</t>
    </rPh>
    <phoneticPr fontId="10"/>
  </si>
  <si>
    <t>店舗日割目標売上
の達成率</t>
    <phoneticPr fontId="10"/>
  </si>
  <si>
    <t>店舗予算達成達率による評価基準
各店舗の予算日割目標を毎月達成できているか。　　　　　　
※予算達成日数/出勤日数</t>
    <rPh sb="2" eb="4">
      <t>ヨサン</t>
    </rPh>
    <rPh sb="4" eb="6">
      <t>タッセイ</t>
    </rPh>
    <rPh sb="6" eb="7">
      <t>タチ</t>
    </rPh>
    <rPh sb="7" eb="8">
      <t>リツ</t>
    </rPh>
    <rPh sb="20" eb="22">
      <t>ヨサン</t>
    </rPh>
    <rPh sb="46" eb="48">
      <t>ヨサン</t>
    </rPh>
    <rPh sb="48" eb="50">
      <t>タッセイ</t>
    </rPh>
    <rPh sb="50" eb="52">
      <t>ニッスウ</t>
    </rPh>
    <rPh sb="53" eb="57">
      <t>シュッキンニッスウ</t>
    </rPh>
    <phoneticPr fontId="10"/>
  </si>
  <si>
    <t>パッキン30件
コーティング10件
達成で60点</t>
    <phoneticPr fontId="10"/>
  </si>
  <si>
    <t>Google口コミ投稿件数
目標達成</t>
    <phoneticPr fontId="10"/>
  </si>
  <si>
    <t>口コミGoogle
のみ40件獲得 　　　　　　　達成で60点</t>
    <phoneticPr fontId="10"/>
  </si>
  <si>
    <t>ブロック売上合計がブロック予算目標に対しての達成率を入力してください。
結果÷目標(ブロック予算)×100＝達成率</t>
    <rPh sb="4" eb="6">
      <t>ウリアゲ</t>
    </rPh>
    <rPh sb="6" eb="8">
      <t>ゴウケイ</t>
    </rPh>
    <rPh sb="13" eb="15">
      <t>ヨサン</t>
    </rPh>
    <rPh sb="15" eb="17">
      <t>モクヒョウ</t>
    </rPh>
    <rPh sb="18" eb="19">
      <t>タイ</t>
    </rPh>
    <rPh sb="22" eb="25">
      <t>タッセイリツ</t>
    </rPh>
    <rPh sb="26" eb="28">
      <t>ニュウリョク</t>
    </rPh>
    <rPh sb="37" eb="39">
      <t>ケッカ</t>
    </rPh>
    <rPh sb="40" eb="42">
      <t>モクヒョウ</t>
    </rPh>
    <rPh sb="47" eb="49">
      <t>ヨサン</t>
    </rPh>
    <rPh sb="55" eb="58">
      <t>タッセイリツ</t>
    </rPh>
    <phoneticPr fontId="10"/>
  </si>
  <si>
    <t>個人売上目標100万円に対しての達成率
結果÷100万×100＝達成率</t>
    <rPh sb="9" eb="11">
      <t>マンエン</t>
    </rPh>
    <rPh sb="12" eb="13">
      <t>タイ</t>
    </rPh>
    <rPh sb="16" eb="19">
      <t>タッセイリツ</t>
    </rPh>
    <rPh sb="21" eb="23">
      <t>ケッカ</t>
    </rPh>
    <rPh sb="27" eb="28">
      <t>マン</t>
    </rPh>
    <rPh sb="33" eb="36">
      <t>タッセイリツ</t>
    </rPh>
    <phoneticPr fontId="10"/>
  </si>
  <si>
    <t>Googleレビューの獲得件数を入力してください。
※最安レビューは含めない※</t>
    <rPh sb="11" eb="13">
      <t>カクトク</t>
    </rPh>
    <rPh sb="13" eb="15">
      <t>ケンスウ</t>
    </rPh>
    <rPh sb="16" eb="18">
      <t>ニュウリョク</t>
    </rPh>
    <rPh sb="27" eb="29">
      <t>サイヤス</t>
    </rPh>
    <rPh sb="34" eb="35">
      <t>フク</t>
    </rPh>
    <phoneticPr fontId="10"/>
  </si>
  <si>
    <t>Googleレビューの獲得件数を入力してください。
※最安レビューは含めない</t>
    <rPh sb="11" eb="13">
      <t>カクトク</t>
    </rPh>
    <rPh sb="13" eb="15">
      <t>ケンスウ</t>
    </rPh>
    <rPh sb="16" eb="18">
      <t>ニュウリョク</t>
    </rPh>
    <rPh sb="27" eb="29">
      <t>サイヤス</t>
    </rPh>
    <rPh sb="34" eb="35">
      <t>フク</t>
    </rPh>
    <phoneticPr fontId="10"/>
  </si>
  <si>
    <t>↓↓↓※ここ記入漏れ気を付けて※</t>
    <rPh sb="6" eb="9">
      <t>キニュウモ</t>
    </rPh>
    <rPh sb="10" eb="11">
      <t>キ</t>
    </rPh>
    <rPh sb="12" eb="13">
      <t>ツ</t>
    </rPh>
    <phoneticPr fontId="10"/>
  </si>
  <si>
    <t>※色付き数式あり、触らない※</t>
    <rPh sb="1" eb="3">
      <t>イロツ</t>
    </rPh>
    <rPh sb="4" eb="6">
      <t>スウシキ</t>
    </rPh>
    <rPh sb="9" eb="10">
      <t>サワ</t>
    </rPh>
    <phoneticPr fontId="10"/>
  </si>
  <si>
    <t>2 四半期</t>
    <rPh sb="2" eb="5">
      <t>シハンキ</t>
    </rPh>
    <phoneticPr fontId="10"/>
  </si>
  <si>
    <t>0%</t>
  </si>
  <si>
    <t>10</t>
  </si>
  <si>
    <t>20</t>
  </si>
  <si>
    <t>30</t>
  </si>
  <si>
    <t>40</t>
  </si>
  <si>
    <t>50</t>
  </si>
  <si>
    <t>60</t>
  </si>
  <si>
    <t>70</t>
  </si>
  <si>
    <t>80</t>
  </si>
  <si>
    <t>90</t>
  </si>
  <si>
    <t>100%</t>
  </si>
  <si>
    <t>パッキンが50件ですが、コーティングが16件なので、点数は70点になります。</t>
    <rPh sb="7" eb="8">
      <t>ケン</t>
    </rPh>
    <rPh sb="21" eb="22">
      <t>ケン</t>
    </rPh>
    <rPh sb="26" eb="28">
      <t>テンスウ</t>
    </rPh>
    <rPh sb="31" eb="32">
      <t>テン</t>
    </rPh>
    <phoneticPr fontId="10"/>
  </si>
  <si>
    <t>（P0.C0）</t>
    <phoneticPr fontId="10"/>
  </si>
  <si>
    <t>⑤</t>
  </si>
  <si>
    <t>15</t>
  </si>
  <si>
    <t>25</t>
  </si>
  <si>
    <t>45</t>
  </si>
  <si>
    <t>55</t>
  </si>
  <si>
    <t>4月</t>
    <rPh sb="1" eb="2">
      <t>ツキ</t>
    </rPh>
    <phoneticPr fontId="10"/>
  </si>
  <si>
    <t>5月</t>
    <rPh sb="1" eb="2">
      <t>ツキ</t>
    </rPh>
    <phoneticPr fontId="10"/>
  </si>
  <si>
    <t>6月</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</si>
</sst>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quot;"/>
  </numFmts>
  <fonts count="43">
    <font>
      <sz val="11"/>
      <color theme="1"/>
      <name val="ＭＳ Ｐゴシック"/>
      <charset val="134"/>
      <scheme val="minor"/>
    </font>
    <font>
      <sz val="12"/>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theme="1"/>
      <name val="ＭＳ Ｐゴシック"/>
      <family val="3"/>
      <charset val="128"/>
      <scheme val="minor"/>
    </font>
    <font>
      <sz val="12"/>
      <name val="ＭＳ Ｐゴシック"/>
      <family val="3"/>
      <charset val="128"/>
      <scheme val="minor"/>
    </font>
    <font>
      <b/>
      <sz val="16"/>
      <name val="ＭＳ Ｐゴシック"/>
      <family val="3"/>
      <charset val="128"/>
      <scheme val="minor"/>
    </font>
    <font>
      <b/>
      <sz val="16"/>
      <color theme="1"/>
      <name val="ＭＳ Ｐゴシック"/>
      <family val="3"/>
      <charset val="128"/>
      <scheme val="minor"/>
    </font>
    <font>
      <sz val="18"/>
      <name val="Arial"/>
      <family val="2"/>
    </font>
    <font>
      <sz val="11"/>
      <color theme="1"/>
      <name val="游ゴシック"/>
      <family val="3"/>
      <charset val="128"/>
    </font>
    <font>
      <sz val="6"/>
      <name val="ＭＳ Ｐゴシック"/>
      <family val="3"/>
      <charset val="128"/>
      <scheme val="minor"/>
    </font>
    <font>
      <sz val="26"/>
      <color theme="1"/>
      <name val="ＭＳ Ｐゴシック"/>
      <family val="3"/>
      <charset val="128"/>
      <scheme val="minor"/>
    </font>
    <font>
      <b/>
      <sz val="20"/>
      <color theme="1"/>
      <name val="ＭＳ Ｐゴシック"/>
      <family val="3"/>
      <charset val="128"/>
      <scheme val="minor"/>
    </font>
    <font>
      <b/>
      <sz val="22"/>
      <color rgb="FFFF0000"/>
      <name val="ＭＳ Ｐゴシック"/>
      <family val="3"/>
      <charset val="128"/>
      <scheme val="minor"/>
    </font>
    <font>
      <sz val="11"/>
      <color theme="1"/>
      <name val="ＭＳ Ｐゴシック"/>
      <family val="3"/>
      <charset val="128"/>
      <scheme val="minor"/>
    </font>
    <font>
      <b/>
      <sz val="26"/>
      <color theme="1"/>
      <name val="游ゴシック"/>
      <family val="3"/>
      <charset val="128"/>
    </font>
    <font>
      <sz val="26"/>
      <name val="ＭＳ Ｐゴシック"/>
      <family val="3"/>
      <charset val="128"/>
      <scheme val="minor"/>
    </font>
    <font>
      <sz val="16"/>
      <color theme="1"/>
      <name val="ＭＳ Ｐゴシック"/>
      <family val="3"/>
      <charset val="128"/>
      <scheme val="minor"/>
    </font>
    <font>
      <sz val="14"/>
      <color rgb="FF000000"/>
      <name val="&quot;ＭＳ Ｐゴシック&quot;"/>
      <family val="3"/>
      <charset val="128"/>
    </font>
    <font>
      <sz val="10"/>
      <name val="Arial"/>
      <family val="2"/>
    </font>
    <font>
      <sz val="12"/>
      <color rgb="FF000000"/>
      <name val="&quot;ＭＳ Ｐゴシック&quot;"/>
      <family val="3"/>
      <charset val="128"/>
    </font>
    <font>
      <sz val="10"/>
      <color theme="1"/>
      <name val="&quot;ＭＳ Ｐゴシック&quot;"/>
      <family val="3"/>
      <charset val="128"/>
    </font>
    <font>
      <sz val="16"/>
      <color theme="1"/>
      <name val="&quot;ＭＳ Ｐゴシック&quot;"/>
      <family val="3"/>
      <charset val="128"/>
    </font>
    <font>
      <sz val="9"/>
      <color theme="1"/>
      <name val="游ゴシック"/>
      <family val="3"/>
      <charset val="128"/>
    </font>
    <font>
      <sz val="9"/>
      <name val="游ゴシック"/>
      <family val="3"/>
      <charset val="128"/>
    </font>
    <font>
      <sz val="11"/>
      <name val="游ゴシック"/>
      <family val="3"/>
      <charset val="128"/>
    </font>
    <font>
      <sz val="13"/>
      <color theme="1"/>
      <name val="游ゴシック"/>
      <family val="3"/>
      <charset val="128"/>
    </font>
    <font>
      <sz val="11"/>
      <color rgb="FFFF0000"/>
      <name val="游ゴシック"/>
      <family val="3"/>
      <charset val="128"/>
    </font>
    <font>
      <sz val="12"/>
      <color theme="1"/>
      <name val="游ゴシック"/>
      <family val="3"/>
      <charset val="128"/>
    </font>
    <font>
      <sz val="12"/>
      <name val="游ゴシック"/>
      <family val="3"/>
      <charset val="128"/>
    </font>
    <font>
      <b/>
      <sz val="11"/>
      <color theme="4" tint="-0.499984740745262"/>
      <name val="BIZ UD明朝 Medium"/>
      <family val="1"/>
      <charset val="128"/>
    </font>
    <font>
      <b/>
      <sz val="11"/>
      <color theme="4" tint="-0.499984740745262"/>
      <name val="HGP明朝B"/>
      <family val="1"/>
      <charset val="128"/>
    </font>
    <font>
      <b/>
      <sz val="11"/>
      <color theme="1"/>
      <name val="游ゴシック"/>
      <family val="3"/>
      <charset val="128"/>
    </font>
    <font>
      <b/>
      <sz val="12"/>
      <color theme="1"/>
      <name val="游ゴシック"/>
      <family val="3"/>
      <charset val="128"/>
    </font>
    <font>
      <b/>
      <sz val="20"/>
      <color rgb="FFFF0000"/>
      <name val="游ゴシック"/>
      <family val="3"/>
      <charset val="128"/>
    </font>
    <font>
      <sz val="14"/>
      <color theme="1"/>
      <name val="游ゴシック"/>
      <family val="3"/>
      <charset val="128"/>
    </font>
    <font>
      <sz val="16"/>
      <name val="游ゴシック"/>
      <family val="3"/>
      <charset val="128"/>
    </font>
    <font>
      <b/>
      <sz val="16"/>
      <name val="游ゴシック"/>
      <family val="3"/>
      <charset val="128"/>
    </font>
    <font>
      <b/>
      <sz val="16"/>
      <color theme="1"/>
      <name val="游ゴシック"/>
      <family val="3"/>
      <charset val="128"/>
    </font>
    <font>
      <sz val="14"/>
      <color rgb="FFFF0000"/>
      <name val="游ゴシック"/>
      <family val="3"/>
      <charset val="128"/>
    </font>
    <font>
      <b/>
      <sz val="10"/>
      <name val="游ゴシック"/>
      <family val="3"/>
      <charset val="128"/>
    </font>
    <font>
      <b/>
      <sz val="9"/>
      <name val="游ゴシック"/>
      <family val="3"/>
      <charset val="128"/>
    </font>
    <font>
      <b/>
      <sz val="20"/>
      <color rgb="FFFF0000"/>
      <name val="ＭＳ Ｐゴシック"/>
      <family val="3"/>
      <charset val="128"/>
      <scheme val="minor"/>
    </font>
  </fonts>
  <fills count="11">
    <fill>
      <patternFill patternType="none"/>
    </fill>
    <fill>
      <patternFill patternType="gray125"/>
    </fill>
    <fill>
      <patternFill patternType="solid">
        <fgColor theme="0" tint="-4.9989318521683403E-2"/>
        <bgColor indexed="64"/>
      </patternFill>
    </fill>
    <fill>
      <patternFill patternType="solid">
        <fgColor rgb="FFFFFF00"/>
        <bgColor rgb="FFFFFF00"/>
      </patternFill>
    </fill>
    <fill>
      <patternFill patternType="solid">
        <fgColor theme="7"/>
        <bgColor indexed="64"/>
      </patternFill>
    </fill>
    <fill>
      <patternFill patternType="solid">
        <fgColor rgb="FFFFFFFF"/>
        <bgColor rgb="FFFFFFFF"/>
      </patternFill>
    </fill>
    <fill>
      <patternFill patternType="solid">
        <fgColor theme="0"/>
        <bgColor indexed="64"/>
      </patternFill>
    </fill>
    <fill>
      <patternFill patternType="solid">
        <fgColor rgb="FFFFFF00"/>
        <bgColor indexed="64"/>
      </patternFill>
    </fill>
    <fill>
      <patternFill patternType="solid">
        <fgColor rgb="FFF2F2F2"/>
        <bgColor rgb="FFF2F2F2"/>
      </patternFill>
    </fill>
    <fill>
      <patternFill patternType="solid">
        <fgColor theme="4" tint="0.59999389629810485"/>
        <bgColor indexed="64"/>
      </patternFill>
    </fill>
    <fill>
      <patternFill patternType="solid">
        <fgColor theme="7"/>
        <bgColor rgb="FFFFFF00"/>
      </patternFill>
    </fill>
  </fills>
  <borders count="91">
    <border>
      <left/>
      <right/>
      <top/>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medium">
        <color auto="1"/>
      </left>
      <right/>
      <top/>
      <bottom/>
      <diagonal/>
    </border>
    <border>
      <left/>
      <right style="thin">
        <color auto="1"/>
      </right>
      <top/>
      <bottom/>
      <diagonal/>
    </border>
    <border>
      <left style="thin">
        <color auto="1"/>
      </left>
      <right/>
      <top/>
      <bottom/>
      <diagonal/>
    </border>
    <border>
      <left/>
      <right/>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thin">
        <color auto="1"/>
      </top>
      <bottom/>
      <diagonal/>
    </border>
    <border>
      <left style="thin">
        <color auto="1"/>
      </left>
      <right style="medium">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medium">
        <color auto="1"/>
      </right>
      <top style="medium">
        <color auto="1"/>
      </top>
      <bottom style="thin">
        <color auto="1"/>
      </bottom>
      <diagonal/>
    </border>
    <border>
      <left/>
      <right style="medium">
        <color rgb="FF000000"/>
      </right>
      <top/>
      <bottom/>
      <diagonal/>
    </border>
    <border>
      <left style="thin">
        <color rgb="FF000000"/>
      </left>
      <right/>
      <top/>
      <bottom/>
      <diagonal/>
    </border>
    <border>
      <left/>
      <right style="thin">
        <color rgb="FF000000"/>
      </right>
      <top/>
      <bottom/>
      <diagonal/>
    </border>
    <border>
      <left/>
      <right style="thin">
        <color auto="1"/>
      </right>
      <top style="thin">
        <color rgb="FF000000"/>
      </top>
      <bottom/>
      <diagonal/>
    </border>
    <border>
      <left style="medium">
        <color auto="1"/>
      </left>
      <right style="thin">
        <color auto="1"/>
      </right>
      <top style="medium">
        <color auto="1"/>
      </top>
      <bottom/>
      <diagonal/>
    </border>
    <border>
      <left style="medium">
        <color indexed="64"/>
      </left>
      <right style="thin">
        <color rgb="FF000000"/>
      </right>
      <top style="medium">
        <color indexed="64"/>
      </top>
      <bottom/>
      <diagonal/>
    </border>
    <border>
      <left/>
      <right style="medium">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right style="medium">
        <color rgb="FF000000"/>
      </right>
      <top/>
      <bottom style="medium">
        <color indexed="64"/>
      </bottom>
      <diagonal/>
    </border>
    <border>
      <left/>
      <right/>
      <top/>
      <bottom style="thin">
        <color rgb="FF000000"/>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medium">
        <color rgb="FF000000"/>
      </left>
      <right style="thin">
        <color rgb="FF000000"/>
      </right>
      <top/>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bottom/>
      <diagonal/>
    </border>
    <border>
      <left style="medium">
        <color rgb="FF000000"/>
      </left>
      <right/>
      <top style="medium">
        <color auto="1"/>
      </top>
      <bottom style="thin">
        <color rgb="FF000000"/>
      </bottom>
      <diagonal/>
    </border>
    <border>
      <left/>
      <right style="medium">
        <color auto="1"/>
      </right>
      <top style="medium">
        <color auto="1"/>
      </top>
      <bottom style="thin">
        <color rgb="FF000000"/>
      </bottom>
      <diagonal/>
    </border>
    <border>
      <left style="medium">
        <color auto="1"/>
      </left>
      <right/>
      <top style="medium">
        <color auto="1"/>
      </top>
      <bottom style="thin">
        <color rgb="FF000000"/>
      </bottom>
      <diagonal/>
    </border>
    <border>
      <left/>
      <right/>
      <top style="medium">
        <color auto="1"/>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medium">
        <color auto="1"/>
      </right>
      <top style="thin">
        <color rgb="FF000000"/>
      </top>
      <bottom style="thin">
        <color rgb="FF000000"/>
      </bottom>
      <diagonal/>
    </border>
    <border>
      <left style="medium">
        <color auto="1"/>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auto="1"/>
      </bottom>
      <diagonal/>
    </border>
    <border>
      <left/>
      <right style="medium">
        <color auto="1"/>
      </right>
      <top style="thin">
        <color rgb="FF000000"/>
      </top>
      <bottom style="medium">
        <color auto="1"/>
      </bottom>
      <diagonal/>
    </border>
    <border>
      <left style="medium">
        <color auto="1"/>
      </left>
      <right/>
      <top style="thin">
        <color rgb="FF000000"/>
      </top>
      <bottom style="medium">
        <color auto="1"/>
      </bottom>
      <diagonal/>
    </border>
    <border>
      <left/>
      <right/>
      <top style="thin">
        <color rgb="FF000000"/>
      </top>
      <bottom style="medium">
        <color auto="1"/>
      </bottom>
      <diagonal/>
    </border>
  </borders>
  <cellStyleXfs count="4">
    <xf numFmtId="0" fontId="0" fillId="0" borderId="0">
      <alignment vertical="center"/>
    </xf>
    <xf numFmtId="0" fontId="2" fillId="0" borderId="0">
      <alignment vertical="center"/>
    </xf>
    <xf numFmtId="9" fontId="2" fillId="0" borderId="0" applyFont="0" applyFill="0" applyBorder="0" applyAlignment="0" applyProtection="0">
      <alignment vertical="center"/>
    </xf>
    <xf numFmtId="9" fontId="14" fillId="0" borderId="0" applyFont="0" applyFill="0" applyBorder="0" applyAlignment="0" applyProtection="0">
      <alignment vertical="center"/>
    </xf>
  </cellStyleXfs>
  <cellXfs count="420">
    <xf numFmtId="0" fontId="0" fillId="0" borderId="0" xfId="0">
      <alignment vertical="center"/>
    </xf>
    <xf numFmtId="0" fontId="1" fillId="0" borderId="0" xfId="1" applyFont="1">
      <alignment vertical="center"/>
    </xf>
    <xf numFmtId="0" fontId="2" fillId="0" borderId="0" xfId="1">
      <alignment vertical="center"/>
    </xf>
    <xf numFmtId="0" fontId="1" fillId="0" borderId="8" xfId="1" applyFont="1" applyBorder="1">
      <alignment vertical="center"/>
    </xf>
    <xf numFmtId="0" fontId="8" fillId="0" borderId="0" xfId="1" applyFont="1" applyAlignment="1">
      <alignment vertical="top" wrapText="1"/>
    </xf>
    <xf numFmtId="0" fontId="0" fillId="4" borderId="0" xfId="0" applyFill="1">
      <alignment vertical="center"/>
    </xf>
    <xf numFmtId="0" fontId="13" fillId="0" borderId="0" xfId="0" applyFont="1">
      <alignment vertical="center"/>
    </xf>
    <xf numFmtId="0" fontId="20" fillId="5" borderId="25" xfId="0" applyFont="1" applyFill="1" applyBorder="1" applyAlignment="1">
      <alignment horizontal="center" vertical="center"/>
    </xf>
    <xf numFmtId="0" fontId="20" fillId="5" borderId="35" xfId="0" applyFont="1" applyFill="1" applyBorder="1" applyAlignment="1">
      <alignment horizontal="center" vertical="center"/>
    </xf>
    <xf numFmtId="0" fontId="20" fillId="3" borderId="35" xfId="0" applyFont="1" applyFill="1" applyBorder="1" applyAlignment="1">
      <alignment horizontal="center" vertical="center"/>
    </xf>
    <xf numFmtId="0" fontId="21" fillId="0" borderId="26" xfId="0" applyFont="1" applyBorder="1" applyAlignment="1">
      <alignment horizontal="center" vertical="center"/>
    </xf>
    <xf numFmtId="0" fontId="21" fillId="0" borderId="31" xfId="0" applyFont="1" applyBorder="1" applyAlignment="1">
      <alignment horizontal="center" vertical="center"/>
    </xf>
    <xf numFmtId="0" fontId="21" fillId="3" borderId="31" xfId="0" applyFont="1" applyFill="1" applyBorder="1" applyAlignment="1">
      <alignment horizontal="center" vertical="center"/>
    </xf>
    <xf numFmtId="0" fontId="11" fillId="0" borderId="0" xfId="0" applyFont="1">
      <alignment vertical="center"/>
    </xf>
    <xf numFmtId="0" fontId="0" fillId="6" borderId="0" xfId="0" applyFill="1">
      <alignment vertical="center"/>
    </xf>
    <xf numFmtId="0" fontId="13" fillId="6" borderId="0" xfId="0" applyFont="1" applyFill="1">
      <alignment vertical="center"/>
    </xf>
    <xf numFmtId="0" fontId="7" fillId="0" borderId="51" xfId="1" applyFont="1" applyBorder="1" applyAlignment="1">
      <alignment horizontal="center" vertical="center"/>
    </xf>
    <xf numFmtId="0" fontId="7" fillId="0" borderId="52" xfId="1" applyFont="1" applyBorder="1" applyAlignment="1">
      <alignment horizontal="center" vertical="center"/>
    </xf>
    <xf numFmtId="0" fontId="4" fillId="0" borderId="51" xfId="0" applyFont="1" applyBorder="1">
      <alignment vertical="center"/>
    </xf>
    <xf numFmtId="0" fontId="12" fillId="0" borderId="0" xfId="0" applyFont="1" applyAlignment="1">
      <alignment vertical="center" wrapText="1"/>
    </xf>
    <xf numFmtId="0" fontId="32" fillId="0" borderId="0" xfId="1" applyFont="1">
      <alignment vertical="center"/>
    </xf>
    <xf numFmtId="0" fontId="28" fillId="0" borderId="33" xfId="1" applyFont="1" applyBorder="1">
      <alignment vertical="center"/>
    </xf>
    <xf numFmtId="0" fontId="28" fillId="0" borderId="0" xfId="1" applyFont="1">
      <alignment vertical="center"/>
    </xf>
    <xf numFmtId="0" fontId="28" fillId="0" borderId="56" xfId="1" applyFont="1" applyBorder="1">
      <alignment vertical="center"/>
    </xf>
    <xf numFmtId="0" fontId="28" fillId="0" borderId="63" xfId="1" applyFont="1" applyBorder="1">
      <alignment vertical="center"/>
    </xf>
    <xf numFmtId="0" fontId="18" fillId="0" borderId="25" xfId="0" applyFont="1" applyBorder="1" applyAlignment="1">
      <alignment horizontal="center" vertical="center"/>
    </xf>
    <xf numFmtId="0" fontId="19" fillId="0" borderId="26" xfId="0" applyFont="1" applyBorder="1">
      <alignment vertical="center"/>
    </xf>
    <xf numFmtId="0" fontId="18" fillId="0" borderId="34" xfId="0" applyFont="1" applyBorder="1" applyAlignment="1">
      <alignment horizontal="center" vertical="center"/>
    </xf>
    <xf numFmtId="0" fontId="19" fillId="0" borderId="30" xfId="0" applyFont="1" applyBorder="1">
      <alignment vertical="center"/>
    </xf>
    <xf numFmtId="0" fontId="18" fillId="0" borderId="35" xfId="0" applyFont="1" applyBorder="1" applyAlignment="1">
      <alignment horizontal="center" vertical="center"/>
    </xf>
    <xf numFmtId="0" fontId="19" fillId="0" borderId="31" xfId="0" applyFont="1" applyBorder="1">
      <alignment vertical="center"/>
    </xf>
    <xf numFmtId="0" fontId="18" fillId="3" borderId="25" xfId="0" applyFont="1" applyFill="1" applyBorder="1" applyAlignment="1">
      <alignment horizontal="center" vertical="center"/>
    </xf>
    <xf numFmtId="0" fontId="15" fillId="0" borderId="37" xfId="0" applyFont="1" applyBorder="1" applyAlignment="1">
      <alignment horizontal="center" vertical="center" textRotation="255"/>
    </xf>
    <xf numFmtId="0" fontId="16" fillId="0" borderId="12" xfId="0" applyFont="1" applyBorder="1">
      <alignment vertical="center"/>
    </xf>
    <xf numFmtId="0" fontId="16" fillId="0" borderId="13" xfId="0" applyFont="1" applyBorder="1">
      <alignment vertical="center"/>
    </xf>
    <xf numFmtId="0" fontId="26" fillId="0" borderId="28" xfId="0" applyFont="1" applyBorder="1" applyAlignment="1">
      <alignment horizontal="center" vertical="center" wrapText="1"/>
    </xf>
    <xf numFmtId="0" fontId="25" fillId="0" borderId="53" xfId="0" applyFont="1" applyBorder="1" applyAlignment="1">
      <alignment horizontal="center" vertical="center"/>
    </xf>
    <xf numFmtId="0" fontId="25" fillId="0" borderId="29" xfId="0" applyFont="1" applyBorder="1" applyAlignment="1">
      <alignment horizontal="center" vertical="center"/>
    </xf>
    <xf numFmtId="0" fontId="25" fillId="0" borderId="34" xfId="0" applyFont="1" applyBorder="1" applyAlignment="1">
      <alignment horizontal="center" vertical="center"/>
    </xf>
    <xf numFmtId="0" fontId="9" fillId="0" borderId="0" xfId="0" applyFont="1" applyAlignment="1">
      <alignment horizontal="center" vertical="center"/>
    </xf>
    <xf numFmtId="0" fontId="25" fillId="0" borderId="35" xfId="0" applyFont="1" applyBorder="1" applyAlignment="1">
      <alignment horizontal="center" vertical="center"/>
    </xf>
    <xf numFmtId="0" fontId="25" fillId="0" borderId="30" xfId="0" applyFont="1" applyBorder="1" applyAlignment="1">
      <alignment horizontal="center" vertical="center"/>
    </xf>
    <xf numFmtId="0" fontId="25" fillId="0" borderId="43" xfId="0" applyFont="1" applyBorder="1" applyAlignment="1">
      <alignment horizontal="center" vertical="center"/>
    </xf>
    <xf numFmtId="0" fontId="25" fillId="0" borderId="31" xfId="0" applyFont="1" applyBorder="1" applyAlignment="1">
      <alignment horizontal="center" vertical="center"/>
    </xf>
    <xf numFmtId="0" fontId="9" fillId="0" borderId="55" xfId="0" applyFont="1" applyBorder="1" applyAlignment="1">
      <alignment horizontal="left" vertical="top" wrapText="1"/>
    </xf>
    <xf numFmtId="0" fontId="25" fillId="0" borderId="55" xfId="0" applyFont="1" applyBorder="1" applyAlignment="1">
      <alignment horizontal="left" vertical="top"/>
    </xf>
    <xf numFmtId="0" fontId="17" fillId="4" borderId="1" xfId="1" applyFont="1" applyFill="1" applyBorder="1" applyAlignment="1">
      <alignment horizontal="center" vertical="center"/>
    </xf>
    <xf numFmtId="0" fontId="17" fillId="4" borderId="14" xfId="1" applyFont="1" applyFill="1" applyBorder="1" applyAlignment="1">
      <alignment horizontal="center" vertical="center"/>
    </xf>
    <xf numFmtId="0" fontId="17" fillId="4" borderId="5" xfId="1" applyFont="1" applyFill="1" applyBorder="1" applyAlignment="1">
      <alignment horizontal="center" vertical="center"/>
    </xf>
    <xf numFmtId="0" fontId="17" fillId="4" borderId="15" xfId="1" applyFont="1" applyFill="1" applyBorder="1" applyAlignment="1">
      <alignment horizontal="center" vertical="center"/>
    </xf>
    <xf numFmtId="0" fontId="17" fillId="4" borderId="9" xfId="1" applyFont="1" applyFill="1" applyBorder="1" applyAlignment="1">
      <alignment horizontal="center" vertical="center"/>
    </xf>
    <xf numFmtId="0" fontId="17" fillId="4" borderId="16" xfId="1" applyFont="1" applyFill="1" applyBorder="1" applyAlignment="1">
      <alignment horizontal="center" vertical="center"/>
    </xf>
    <xf numFmtId="9" fontId="22" fillId="0" borderId="28" xfId="0" applyNumberFormat="1" applyFont="1" applyBorder="1" applyAlignment="1">
      <alignment horizontal="center" vertical="center"/>
    </xf>
    <xf numFmtId="0" fontId="19" fillId="0" borderId="29" xfId="0" applyFont="1" applyBorder="1">
      <alignment vertical="center"/>
    </xf>
    <xf numFmtId="0" fontId="19" fillId="0" borderId="34" xfId="0" applyFont="1" applyBorder="1">
      <alignment vertical="center"/>
    </xf>
    <xf numFmtId="0" fontId="19" fillId="0" borderId="35" xfId="0" applyFont="1" applyBorder="1">
      <alignment vertical="center"/>
    </xf>
    <xf numFmtId="0" fontId="6" fillId="0" borderId="2" xfId="1" applyFont="1" applyBorder="1" applyAlignment="1">
      <alignment horizontal="center" vertical="center" wrapText="1"/>
    </xf>
    <xf numFmtId="0" fontId="6" fillId="0" borderId="14" xfId="1" applyFont="1" applyBorder="1" applyAlignment="1">
      <alignment horizontal="center" vertical="center" wrapText="1"/>
    </xf>
    <xf numFmtId="0" fontId="6" fillId="0" borderId="0" xfId="1" applyFont="1" applyAlignment="1">
      <alignment horizontal="center" vertical="center" wrapText="1"/>
    </xf>
    <xf numFmtId="0" fontId="6" fillId="0" borderId="15" xfId="1" applyFont="1" applyBorder="1" applyAlignment="1">
      <alignment horizontal="center" vertical="center" wrapText="1"/>
    </xf>
    <xf numFmtId="0" fontId="6" fillId="0" borderId="8" xfId="1" applyFont="1" applyBorder="1" applyAlignment="1">
      <alignment horizontal="center" vertical="center" wrapText="1"/>
    </xf>
    <xf numFmtId="0" fontId="6" fillId="0" borderId="16" xfId="1" applyFont="1" applyBorder="1" applyAlignment="1">
      <alignment horizontal="center" vertical="center" wrapText="1"/>
    </xf>
    <xf numFmtId="0" fontId="20" fillId="0" borderId="25" xfId="0" applyFont="1" applyBorder="1" applyAlignment="1">
      <alignment horizontal="center" vertical="center"/>
    </xf>
    <xf numFmtId="9" fontId="20" fillId="0" borderId="25" xfId="0" applyNumberFormat="1" applyFont="1" applyBorder="1" applyAlignment="1">
      <alignment horizontal="center" vertical="center"/>
    </xf>
    <xf numFmtId="0" fontId="3" fillId="0" borderId="1" xfId="1" applyFont="1" applyBorder="1" applyAlignment="1">
      <alignment horizontal="left" vertical="center" wrapText="1"/>
    </xf>
    <xf numFmtId="0" fontId="3" fillId="0" borderId="2" xfId="1" applyFont="1" applyBorder="1" applyAlignment="1">
      <alignment horizontal="left" vertical="center" wrapText="1"/>
    </xf>
    <xf numFmtId="0" fontId="3" fillId="0" borderId="14" xfId="1" applyFont="1" applyBorder="1" applyAlignment="1">
      <alignment horizontal="left" vertical="center" wrapText="1"/>
    </xf>
    <xf numFmtId="0" fontId="3" fillId="0" borderId="5" xfId="1" applyFont="1" applyBorder="1" applyAlignment="1">
      <alignment horizontal="left" vertical="center" wrapText="1"/>
    </xf>
    <xf numFmtId="0" fontId="3" fillId="0" borderId="0" xfId="1" applyFont="1" applyAlignment="1">
      <alignment horizontal="left" vertical="center" wrapText="1"/>
    </xf>
    <xf numFmtId="0" fontId="3" fillId="0" borderId="15" xfId="1" applyFont="1" applyBorder="1" applyAlignment="1">
      <alignment horizontal="left" vertical="center" wrapText="1"/>
    </xf>
    <xf numFmtId="0" fontId="3" fillId="0" borderId="9" xfId="1" applyFont="1" applyBorder="1" applyAlignment="1">
      <alignment horizontal="left" vertical="center" wrapText="1"/>
    </xf>
    <xf numFmtId="0" fontId="3" fillId="0" borderId="8" xfId="1" applyFont="1" applyBorder="1" applyAlignment="1">
      <alignment horizontal="left" vertical="center" wrapText="1"/>
    </xf>
    <xf numFmtId="0" fontId="3" fillId="0" borderId="16" xfId="1" applyFont="1" applyBorder="1" applyAlignment="1">
      <alignment horizontal="left" vertical="center" wrapText="1"/>
    </xf>
    <xf numFmtId="0" fontId="18" fillId="0" borderId="27" xfId="0" applyFont="1" applyBorder="1" applyAlignment="1">
      <alignment horizontal="center" vertical="center"/>
    </xf>
    <xf numFmtId="0" fontId="15" fillId="0" borderId="38" xfId="0" applyFont="1" applyBorder="1" applyAlignment="1">
      <alignment horizontal="center" vertical="center" textRotation="255"/>
    </xf>
    <xf numFmtId="0" fontId="16" fillId="0" borderId="40" xfId="0" applyFont="1" applyBorder="1">
      <alignment vertical="center"/>
    </xf>
    <xf numFmtId="0" fontId="16" fillId="0" borderId="41" xfId="0" applyFont="1" applyBorder="1">
      <alignment vertical="center"/>
    </xf>
    <xf numFmtId="0" fontId="25" fillId="0" borderId="55" xfId="0" applyFont="1" applyBorder="1" applyAlignment="1">
      <alignment horizontal="left" vertical="top" wrapText="1"/>
    </xf>
    <xf numFmtId="9" fontId="17" fillId="4" borderId="4" xfId="1" applyNumberFormat="1" applyFont="1" applyFill="1" applyBorder="1" applyAlignment="1">
      <alignment horizontal="center" vertical="center" wrapText="1"/>
    </xf>
    <xf numFmtId="9" fontId="17" fillId="4" borderId="39" xfId="1" applyNumberFormat="1" applyFont="1" applyFill="1" applyBorder="1" applyAlignment="1">
      <alignment horizontal="center" vertical="center" wrapText="1"/>
    </xf>
    <xf numFmtId="9" fontId="17" fillId="4" borderId="7" xfId="1" applyNumberFormat="1" applyFont="1" applyFill="1" applyBorder="1" applyAlignment="1">
      <alignment horizontal="center" vertical="center" wrapText="1"/>
    </xf>
    <xf numFmtId="9" fontId="17" fillId="4" borderId="33" xfId="1" applyNumberFormat="1" applyFont="1" applyFill="1" applyBorder="1" applyAlignment="1">
      <alignment horizontal="center" vertical="center" wrapText="1"/>
    </xf>
    <xf numFmtId="9" fontId="17" fillId="4" borderId="11" xfId="1" applyNumberFormat="1" applyFont="1" applyFill="1" applyBorder="1" applyAlignment="1">
      <alignment horizontal="center" vertical="center" wrapText="1"/>
    </xf>
    <xf numFmtId="9" fontId="17" fillId="4" borderId="42" xfId="1" applyNumberFormat="1" applyFont="1" applyFill="1" applyBorder="1" applyAlignment="1">
      <alignment horizontal="center" vertical="center" wrapText="1"/>
    </xf>
    <xf numFmtId="9" fontId="20" fillId="3" borderId="25" xfId="3" applyFont="1" applyFill="1" applyBorder="1" applyAlignment="1">
      <alignment horizontal="center" vertical="center"/>
    </xf>
    <xf numFmtId="9" fontId="19" fillId="0" borderId="26" xfId="3" applyFont="1" applyBorder="1">
      <alignment vertical="center"/>
    </xf>
    <xf numFmtId="9" fontId="20" fillId="3" borderId="25" xfId="0" applyNumberFormat="1" applyFont="1" applyFill="1" applyBorder="1" applyAlignment="1">
      <alignment horizontal="center" vertical="center"/>
    </xf>
    <xf numFmtId="0" fontId="27" fillId="0" borderId="55" xfId="0" applyFont="1" applyBorder="1" applyAlignment="1">
      <alignment horizontal="left" vertical="top" wrapText="1"/>
    </xf>
    <xf numFmtId="0" fontId="27" fillId="0" borderId="55" xfId="0" applyFont="1" applyBorder="1" applyAlignment="1">
      <alignment horizontal="left" vertical="top"/>
    </xf>
    <xf numFmtId="9" fontId="17" fillId="4" borderId="2" xfId="1" applyNumberFormat="1" applyFont="1" applyFill="1" applyBorder="1" applyAlignment="1">
      <alignment horizontal="center" vertical="center" wrapText="1"/>
    </xf>
    <xf numFmtId="9" fontId="17" fillId="4" borderId="0" xfId="1" applyNumberFormat="1" applyFont="1" applyFill="1" applyAlignment="1">
      <alignment horizontal="center" vertical="center" wrapText="1"/>
    </xf>
    <xf numFmtId="9" fontId="17" fillId="4" borderId="8" xfId="1" applyNumberFormat="1" applyFont="1" applyFill="1" applyBorder="1" applyAlignment="1">
      <alignment horizontal="center" vertical="center" wrapText="1"/>
    </xf>
    <xf numFmtId="0" fontId="17" fillId="4" borderId="0" xfId="1" applyFont="1" applyFill="1" applyAlignment="1">
      <alignment horizontal="center" vertical="center"/>
    </xf>
    <xf numFmtId="0" fontId="17" fillId="4" borderId="8" xfId="1" applyFont="1" applyFill="1" applyBorder="1" applyAlignment="1">
      <alignment horizontal="center" vertical="center"/>
    </xf>
    <xf numFmtId="0" fontId="6" fillId="0" borderId="1" xfId="1" applyFont="1" applyBorder="1" applyAlignment="1">
      <alignment horizontal="center" vertical="center" wrapText="1"/>
    </xf>
    <xf numFmtId="0" fontId="6" fillId="0" borderId="5" xfId="1" applyFont="1" applyBorder="1" applyAlignment="1">
      <alignment horizontal="center" vertical="center" wrapText="1"/>
    </xf>
    <xf numFmtId="0" fontId="6" fillId="0" borderId="9" xfId="1" applyFont="1" applyBorder="1" applyAlignment="1">
      <alignment horizontal="center" vertical="center" wrapText="1"/>
    </xf>
    <xf numFmtId="0" fontId="19" fillId="0" borderId="25" xfId="0" applyFont="1" applyBorder="1">
      <alignment vertical="center"/>
    </xf>
    <xf numFmtId="0" fontId="23" fillId="0" borderId="28" xfId="0" applyFont="1" applyBorder="1" applyAlignment="1">
      <alignment horizontal="left" vertical="top" wrapText="1"/>
    </xf>
    <xf numFmtId="0" fontId="24" fillId="0" borderId="53" xfId="0" applyFont="1" applyBorder="1" applyAlignment="1">
      <alignment horizontal="left" vertical="top" wrapText="1"/>
    </xf>
    <xf numFmtId="0" fontId="24" fillId="0" borderId="29" xfId="0" applyFont="1" applyBorder="1" applyAlignment="1">
      <alignment horizontal="left" vertical="top" wrapText="1"/>
    </xf>
    <xf numFmtId="0" fontId="24" fillId="0" borderId="34" xfId="0" applyFont="1" applyBorder="1" applyAlignment="1">
      <alignment horizontal="left" vertical="top" wrapText="1"/>
    </xf>
    <xf numFmtId="0" fontId="23" fillId="0" borderId="0" xfId="0" applyFont="1" applyAlignment="1">
      <alignment horizontal="left" vertical="top" wrapText="1"/>
    </xf>
    <xf numFmtId="0" fontId="24" fillId="0" borderId="35" xfId="0" applyFont="1" applyBorder="1" applyAlignment="1">
      <alignment horizontal="left" vertical="top" wrapText="1"/>
    </xf>
    <xf numFmtId="0" fontId="24" fillId="0" borderId="30" xfId="0" applyFont="1" applyBorder="1" applyAlignment="1">
      <alignment horizontal="left" vertical="top" wrapText="1"/>
    </xf>
    <xf numFmtId="0" fontId="24" fillId="0" borderId="43" xfId="0" applyFont="1" applyBorder="1" applyAlignment="1">
      <alignment horizontal="left" vertical="top" wrapText="1"/>
    </xf>
    <xf numFmtId="0" fontId="24" fillId="0" borderId="31" xfId="0" applyFont="1" applyBorder="1" applyAlignment="1">
      <alignment horizontal="left" vertical="top" wrapText="1"/>
    </xf>
    <xf numFmtId="0" fontId="9" fillId="0" borderId="54" xfId="0" applyFont="1" applyBorder="1" applyAlignment="1">
      <alignment horizontal="left" vertical="top" wrapText="1"/>
    </xf>
    <xf numFmtId="0" fontId="25" fillId="0" borderId="54" xfId="0" applyFont="1" applyBorder="1" applyAlignment="1">
      <alignment horizontal="left" vertical="top"/>
    </xf>
    <xf numFmtId="176" fontId="17" fillId="4" borderId="4" xfId="1" applyNumberFormat="1" applyFont="1" applyFill="1" applyBorder="1" applyAlignment="1">
      <alignment horizontal="center" vertical="center" wrapText="1"/>
    </xf>
    <xf numFmtId="176" fontId="17" fillId="4" borderId="14" xfId="1" applyNumberFormat="1" applyFont="1" applyFill="1" applyBorder="1" applyAlignment="1">
      <alignment horizontal="center" vertical="center" wrapText="1"/>
    </xf>
    <xf numFmtId="176" fontId="17" fillId="4" borderId="7" xfId="1" applyNumberFormat="1" applyFont="1" applyFill="1" applyBorder="1" applyAlignment="1">
      <alignment horizontal="center" vertical="center" wrapText="1"/>
    </xf>
    <xf numFmtId="176" fontId="17" fillId="4" borderId="15" xfId="1" applyNumberFormat="1" applyFont="1" applyFill="1" applyBorder="1" applyAlignment="1">
      <alignment horizontal="center" vertical="center" wrapText="1"/>
    </xf>
    <xf numFmtId="176" fontId="17" fillId="4" borderId="11" xfId="1" applyNumberFormat="1" applyFont="1" applyFill="1" applyBorder="1" applyAlignment="1">
      <alignment horizontal="center" vertical="center" wrapText="1"/>
    </xf>
    <xf numFmtId="176" fontId="17" fillId="4" borderId="16" xfId="1" applyNumberFormat="1" applyFont="1" applyFill="1" applyBorder="1" applyAlignment="1">
      <alignment horizontal="center" vertical="center" wrapText="1"/>
    </xf>
    <xf numFmtId="0" fontId="1" fillId="2" borderId="1" xfId="1" applyFont="1" applyFill="1" applyBorder="1" applyAlignment="1">
      <alignment horizontal="center" vertical="center"/>
    </xf>
    <xf numFmtId="0" fontId="1" fillId="2" borderId="2" xfId="1" applyFont="1" applyFill="1" applyBorder="1" applyAlignment="1">
      <alignment horizontal="center" vertical="center"/>
    </xf>
    <xf numFmtId="0" fontId="1" fillId="2" borderId="14" xfId="1" applyFont="1" applyFill="1" applyBorder="1" applyAlignment="1">
      <alignment horizontal="center" vertical="center"/>
    </xf>
    <xf numFmtId="0" fontId="1" fillId="2" borderId="5" xfId="1" applyFont="1" applyFill="1" applyBorder="1" applyAlignment="1">
      <alignment horizontal="center" vertical="center"/>
    </xf>
    <xf numFmtId="0" fontId="1" fillId="2" borderId="0" xfId="1" applyFont="1" applyFill="1" applyAlignment="1">
      <alignment horizontal="center" vertical="center"/>
    </xf>
    <xf numFmtId="0" fontId="1" fillId="2" borderId="15" xfId="1" applyFont="1" applyFill="1" applyBorder="1" applyAlignment="1">
      <alignment horizontal="center" vertical="center"/>
    </xf>
    <xf numFmtId="0" fontId="1" fillId="2" borderId="9" xfId="1" applyFont="1" applyFill="1" applyBorder="1" applyAlignment="1">
      <alignment horizontal="center" vertical="center"/>
    </xf>
    <xf numFmtId="0" fontId="1" fillId="2" borderId="8" xfId="1" applyFont="1" applyFill="1" applyBorder="1" applyAlignment="1">
      <alignment horizontal="center" vertical="center"/>
    </xf>
    <xf numFmtId="0" fontId="1" fillId="2" borderId="16" xfId="1" applyFont="1" applyFill="1" applyBorder="1" applyAlignment="1">
      <alignment horizontal="center" vertical="center"/>
    </xf>
    <xf numFmtId="0" fontId="1" fillId="2" borderId="2" xfId="1" applyFont="1" applyFill="1" applyBorder="1" applyAlignment="1">
      <alignment horizontal="center" vertical="center" wrapText="1"/>
    </xf>
    <xf numFmtId="0" fontId="1" fillId="2" borderId="3" xfId="1" applyFont="1" applyFill="1" applyBorder="1" applyAlignment="1">
      <alignment horizontal="center" vertical="center"/>
    </xf>
    <xf numFmtId="0" fontId="1" fillId="2" borderId="6" xfId="1" applyFont="1" applyFill="1" applyBorder="1" applyAlignment="1">
      <alignment horizontal="center" vertical="center"/>
    </xf>
    <xf numFmtId="0" fontId="1" fillId="2" borderId="10" xfId="1" applyFont="1" applyFill="1" applyBorder="1" applyAlignment="1">
      <alignment horizontal="center" vertical="center"/>
    </xf>
    <xf numFmtId="0" fontId="1" fillId="2" borderId="4" xfId="1" applyFont="1" applyFill="1" applyBorder="1" applyAlignment="1">
      <alignment horizontal="center" vertical="center" wrapText="1"/>
    </xf>
    <xf numFmtId="0" fontId="1" fillId="2" borderId="7" xfId="1" applyFont="1" applyFill="1" applyBorder="1" applyAlignment="1">
      <alignment horizontal="center" vertical="center" wrapText="1"/>
    </xf>
    <xf numFmtId="0" fontId="1" fillId="2" borderId="0" xfId="1" applyFont="1" applyFill="1" applyAlignment="1">
      <alignment horizontal="center" vertical="center" wrapText="1"/>
    </xf>
    <xf numFmtId="0" fontId="1" fillId="2" borderId="11" xfId="1" applyFont="1" applyFill="1" applyBorder="1" applyAlignment="1">
      <alignment horizontal="center" vertical="center" wrapText="1"/>
    </xf>
    <xf numFmtId="0" fontId="1" fillId="2" borderId="8" xfId="1" applyFont="1" applyFill="1" applyBorder="1" applyAlignment="1">
      <alignment horizontal="center" vertical="center" wrapText="1"/>
    </xf>
    <xf numFmtId="0" fontId="5" fillId="2" borderId="1" xfId="1" applyFont="1" applyFill="1" applyBorder="1" applyAlignment="1">
      <alignment horizontal="center" vertical="center"/>
    </xf>
    <xf numFmtId="0" fontId="5" fillId="2" borderId="2" xfId="1" applyFont="1" applyFill="1" applyBorder="1" applyAlignment="1">
      <alignment horizontal="center" vertical="center"/>
    </xf>
    <xf numFmtId="0" fontId="5" fillId="2" borderId="14" xfId="1" applyFont="1" applyFill="1" applyBorder="1" applyAlignment="1">
      <alignment horizontal="center" vertical="center"/>
    </xf>
    <xf numFmtId="0" fontId="5" fillId="2" borderId="5" xfId="1" applyFont="1" applyFill="1" applyBorder="1" applyAlignment="1">
      <alignment horizontal="center" vertical="center"/>
    </xf>
    <xf numFmtId="0" fontId="5" fillId="2" borderId="0" xfId="1" applyFont="1" applyFill="1" applyAlignment="1">
      <alignment horizontal="center" vertical="center"/>
    </xf>
    <xf numFmtId="0" fontId="5" fillId="2" borderId="15" xfId="1" applyFont="1" applyFill="1" applyBorder="1" applyAlignment="1">
      <alignment horizontal="center" vertical="center"/>
    </xf>
    <xf numFmtId="0" fontId="5" fillId="2" borderId="9" xfId="1" applyFont="1" applyFill="1" applyBorder="1" applyAlignment="1">
      <alignment horizontal="center" vertical="center"/>
    </xf>
    <xf numFmtId="0" fontId="5" fillId="2" borderId="8" xfId="1" applyFont="1" applyFill="1" applyBorder="1" applyAlignment="1">
      <alignment horizontal="center" vertical="center"/>
    </xf>
    <xf numFmtId="0" fontId="5" fillId="2" borderId="16" xfId="1" applyFont="1" applyFill="1" applyBorder="1" applyAlignment="1">
      <alignment horizontal="center" vertical="center"/>
    </xf>
    <xf numFmtId="0" fontId="1" fillId="2" borderId="1" xfId="1" applyFont="1" applyFill="1" applyBorder="1" applyAlignment="1">
      <alignment horizontal="center" vertical="center" wrapText="1"/>
    </xf>
    <xf numFmtId="0" fontId="1" fillId="2" borderId="14" xfId="1" applyFont="1" applyFill="1" applyBorder="1" applyAlignment="1">
      <alignment horizontal="center" vertical="center" wrapText="1"/>
    </xf>
    <xf numFmtId="0" fontId="1" fillId="2" borderId="5" xfId="1" applyFont="1" applyFill="1" applyBorder="1" applyAlignment="1">
      <alignment horizontal="center" vertical="center" wrapText="1"/>
    </xf>
    <xf numFmtId="0" fontId="1" fillId="2" borderId="15" xfId="1" applyFont="1" applyFill="1" applyBorder="1" applyAlignment="1">
      <alignment horizontal="center" vertical="center" wrapText="1"/>
    </xf>
    <xf numFmtId="0" fontId="1" fillId="2" borderId="9" xfId="1" applyFont="1" applyFill="1" applyBorder="1" applyAlignment="1">
      <alignment horizontal="center" vertical="center" wrapText="1"/>
    </xf>
    <xf numFmtId="0" fontId="1" fillId="2" borderId="16" xfId="1" applyFont="1" applyFill="1" applyBorder="1" applyAlignment="1">
      <alignment horizontal="center" vertical="center" wrapText="1"/>
    </xf>
    <xf numFmtId="0" fontId="5" fillId="2" borderId="20" xfId="1" applyFont="1" applyFill="1" applyBorder="1" applyAlignment="1">
      <alignment horizontal="center" vertical="center" wrapText="1"/>
    </xf>
    <xf numFmtId="0" fontId="5" fillId="2" borderId="20" xfId="1" applyFont="1" applyFill="1" applyBorder="1" applyAlignment="1">
      <alignment horizontal="center" vertical="center"/>
    </xf>
    <xf numFmtId="0" fontId="5" fillId="2" borderId="21" xfId="1" applyFont="1" applyFill="1" applyBorder="1" applyAlignment="1">
      <alignment horizontal="center" vertical="center"/>
    </xf>
    <xf numFmtId="0" fontId="5" fillId="2" borderId="22" xfId="1" applyFont="1" applyFill="1" applyBorder="1" applyAlignment="1">
      <alignment horizontal="center" vertical="center"/>
    </xf>
    <xf numFmtId="0" fontId="1" fillId="2" borderId="20" xfId="1" applyFont="1" applyFill="1" applyBorder="1" applyAlignment="1">
      <alignment horizontal="center" vertical="center" shrinkToFit="1"/>
    </xf>
    <xf numFmtId="0" fontId="1" fillId="2" borderId="21" xfId="1" applyFont="1" applyFill="1" applyBorder="1" applyAlignment="1">
      <alignment horizontal="center" vertical="center" shrinkToFit="1"/>
    </xf>
    <xf numFmtId="0" fontId="1" fillId="2" borderId="22" xfId="1" applyFont="1" applyFill="1" applyBorder="1" applyAlignment="1">
      <alignment horizontal="center" vertical="center" shrinkToFit="1"/>
    </xf>
    <xf numFmtId="0" fontId="1" fillId="2" borderId="20" xfId="1" applyFont="1" applyFill="1" applyBorder="1" applyAlignment="1">
      <alignment horizontal="center" vertical="center" wrapText="1"/>
    </xf>
    <xf numFmtId="0" fontId="1" fillId="2" borderId="21" xfId="1" applyFont="1" applyFill="1" applyBorder="1" applyAlignment="1">
      <alignment horizontal="center" vertical="center" wrapText="1"/>
    </xf>
    <xf numFmtId="0" fontId="1" fillId="2" borderId="22" xfId="1" applyFont="1" applyFill="1" applyBorder="1" applyAlignment="1">
      <alignment horizontal="center" vertical="center" wrapText="1"/>
    </xf>
    <xf numFmtId="0" fontId="1" fillId="2" borderId="20" xfId="1" applyFont="1" applyFill="1" applyBorder="1" applyAlignment="1">
      <alignment horizontal="center" vertical="center"/>
    </xf>
    <xf numFmtId="0" fontId="1" fillId="2" borderId="21" xfId="1" applyFont="1" applyFill="1" applyBorder="1" applyAlignment="1">
      <alignment horizontal="center" vertical="center"/>
    </xf>
    <xf numFmtId="0" fontId="1" fillId="2" borderId="22" xfId="1" applyFont="1" applyFill="1" applyBorder="1" applyAlignment="1">
      <alignment horizontal="center" vertical="center"/>
    </xf>
    <xf numFmtId="0" fontId="1" fillId="0" borderId="20" xfId="1" applyFont="1" applyBorder="1" applyAlignment="1">
      <alignment horizontal="center" vertical="center" textRotation="255"/>
    </xf>
    <xf numFmtId="0" fontId="1" fillId="0" borderId="21" xfId="1" applyFont="1" applyBorder="1" applyAlignment="1">
      <alignment horizontal="center" vertical="center" textRotation="255"/>
    </xf>
    <xf numFmtId="0" fontId="1" fillId="0" borderId="22" xfId="1" applyFont="1" applyBorder="1" applyAlignment="1">
      <alignment horizontal="center" vertical="center" textRotation="255"/>
    </xf>
    <xf numFmtId="0" fontId="7" fillId="0" borderId="1" xfId="1" applyFont="1" applyBorder="1" applyAlignment="1">
      <alignment horizontal="center" vertical="center"/>
    </xf>
    <xf numFmtId="0" fontId="7" fillId="0" borderId="14" xfId="1" applyFont="1" applyBorder="1" applyAlignment="1">
      <alignment horizontal="center" vertical="center"/>
    </xf>
    <xf numFmtId="0" fontId="7" fillId="0" borderId="5" xfId="1" applyFont="1" applyBorder="1" applyAlignment="1">
      <alignment horizontal="center" vertical="center"/>
    </xf>
    <xf numFmtId="0" fontId="7" fillId="0" borderId="15" xfId="1" applyFont="1" applyBorder="1" applyAlignment="1">
      <alignment horizontal="center" vertical="center"/>
    </xf>
    <xf numFmtId="0" fontId="7" fillId="0" borderId="9" xfId="1" applyFont="1" applyBorder="1" applyAlignment="1">
      <alignment horizontal="center" vertical="center"/>
    </xf>
    <xf numFmtId="0" fontId="7" fillId="0" borderId="16" xfId="1" applyFont="1" applyBorder="1" applyAlignment="1">
      <alignment horizontal="center" vertical="center"/>
    </xf>
    <xf numFmtId="0" fontId="28" fillId="0" borderId="55" xfId="0" applyFont="1" applyBorder="1" applyAlignment="1">
      <alignment horizontal="left" vertical="top" wrapText="1"/>
    </xf>
    <xf numFmtId="0" fontId="29" fillId="0" borderId="55" xfId="0" applyFont="1" applyBorder="1" applyAlignment="1">
      <alignment horizontal="left" vertical="top"/>
    </xf>
    <xf numFmtId="0" fontId="17" fillId="4" borderId="4" xfId="3" applyNumberFormat="1" applyFont="1" applyFill="1" applyBorder="1" applyAlignment="1">
      <alignment horizontal="center" vertical="center" wrapText="1"/>
    </xf>
    <xf numFmtId="0" fontId="17" fillId="4" borderId="14" xfId="3" applyNumberFormat="1" applyFont="1" applyFill="1" applyBorder="1" applyAlignment="1">
      <alignment horizontal="center" vertical="center" wrapText="1"/>
    </xf>
    <xf numFmtId="0" fontId="17" fillId="4" borderId="7" xfId="3" applyNumberFormat="1" applyFont="1" applyFill="1" applyBorder="1" applyAlignment="1">
      <alignment horizontal="center" vertical="center" wrapText="1"/>
    </xf>
    <xf numFmtId="0" fontId="17" fillId="4" borderId="15" xfId="3" applyNumberFormat="1" applyFont="1" applyFill="1" applyBorder="1" applyAlignment="1">
      <alignment horizontal="center" vertical="center" wrapText="1"/>
    </xf>
    <xf numFmtId="0" fontId="17" fillId="4" borderId="11" xfId="3" applyNumberFormat="1" applyFont="1" applyFill="1" applyBorder="1" applyAlignment="1">
      <alignment horizontal="center" vertical="center" wrapText="1"/>
    </xf>
    <xf numFmtId="0" fontId="17" fillId="4" borderId="16" xfId="3" applyNumberFormat="1" applyFont="1" applyFill="1" applyBorder="1" applyAlignment="1">
      <alignment horizontal="center" vertical="center" wrapText="1"/>
    </xf>
    <xf numFmtId="0" fontId="17" fillId="4" borderId="19" xfId="1" applyFont="1" applyFill="1" applyBorder="1" applyAlignment="1">
      <alignment horizontal="center" vertical="center"/>
    </xf>
    <xf numFmtId="0" fontId="17" fillId="4" borderId="23" xfId="1" applyFont="1" applyFill="1" applyBorder="1" applyAlignment="1">
      <alignment horizontal="center" vertical="center"/>
    </xf>
    <xf numFmtId="0" fontId="17" fillId="4" borderId="17" xfId="1" applyFont="1" applyFill="1" applyBorder="1" applyAlignment="1">
      <alignment horizontal="center" vertical="center" wrapText="1"/>
    </xf>
    <xf numFmtId="0" fontId="17" fillId="4" borderId="18" xfId="1" applyFont="1" applyFill="1" applyBorder="1" applyAlignment="1">
      <alignment horizontal="center" vertical="center" wrapText="1"/>
    </xf>
    <xf numFmtId="0" fontId="17" fillId="4" borderId="32" xfId="1" applyFont="1" applyFill="1" applyBorder="1" applyAlignment="1">
      <alignment horizontal="center" vertical="center" wrapText="1"/>
    </xf>
    <xf numFmtId="0" fontId="17" fillId="4" borderId="24" xfId="1" applyFont="1" applyFill="1" applyBorder="1" applyAlignment="1">
      <alignment horizontal="center" vertical="center" wrapText="1"/>
    </xf>
    <xf numFmtId="0" fontId="17" fillId="4" borderId="44" xfId="1" applyFont="1" applyFill="1" applyBorder="1" applyAlignment="1">
      <alignment horizontal="center" vertical="center" wrapText="1"/>
    </xf>
    <xf numFmtId="0" fontId="17" fillId="4" borderId="24" xfId="1" applyFont="1" applyFill="1" applyBorder="1" applyAlignment="1">
      <alignment horizontal="center" vertical="center"/>
    </xf>
    <xf numFmtId="0" fontId="17" fillId="4" borderId="45" xfId="1" applyFont="1" applyFill="1" applyBorder="1" applyAlignment="1">
      <alignment horizontal="center" vertical="center"/>
    </xf>
    <xf numFmtId="0" fontId="11" fillId="0" borderId="46" xfId="0" applyFont="1" applyBorder="1" applyAlignment="1">
      <alignment horizontal="center" vertical="center"/>
    </xf>
    <xf numFmtId="0" fontId="11" fillId="0" borderId="47" xfId="0" applyFont="1" applyBorder="1" applyAlignment="1">
      <alignment horizontal="center" vertical="center"/>
    </xf>
    <xf numFmtId="0" fontId="12" fillId="0" borderId="17"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44" xfId="0" applyFont="1" applyBorder="1" applyAlignment="1">
      <alignment horizontal="center" vertical="center" wrapText="1"/>
    </xf>
    <xf numFmtId="0" fontId="12" fillId="0" borderId="45" xfId="0" applyFont="1" applyBorder="1" applyAlignment="1">
      <alignment horizontal="center" vertical="center" wrapText="1"/>
    </xf>
    <xf numFmtId="0" fontId="11" fillId="0" borderId="37"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2"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0" xfId="0" applyFont="1" applyAlignment="1">
      <alignment horizontal="center" vertical="center" wrapText="1"/>
    </xf>
    <xf numFmtId="0" fontId="12" fillId="0" borderId="15"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16" xfId="0" applyFont="1" applyBorder="1" applyAlignment="1">
      <alignment horizontal="center" vertical="center" wrapText="1"/>
    </xf>
    <xf numFmtId="0" fontId="20" fillId="3" borderId="25" xfId="0" applyFont="1" applyFill="1" applyBorder="1" applyAlignment="1">
      <alignment horizontal="center" vertical="center"/>
    </xf>
    <xf numFmtId="0" fontId="12" fillId="0" borderId="49" xfId="0" applyFont="1" applyBorder="1" applyAlignment="1">
      <alignment horizontal="center" vertical="center" wrapText="1"/>
    </xf>
    <xf numFmtId="0" fontId="12" fillId="0" borderId="50" xfId="0" applyFont="1" applyBorder="1" applyAlignment="1">
      <alignment horizontal="center" vertical="center" wrapText="1"/>
    </xf>
    <xf numFmtId="0" fontId="11" fillId="0" borderId="48" xfId="0" applyFont="1" applyBorder="1" applyAlignment="1">
      <alignment horizontal="center" vertical="center"/>
    </xf>
    <xf numFmtId="0" fontId="30" fillId="7" borderId="56" xfId="1" applyFont="1" applyFill="1" applyBorder="1" applyAlignment="1">
      <alignment horizontal="center" vertical="center" wrapText="1"/>
    </xf>
    <xf numFmtId="0" fontId="31" fillId="7" borderId="8" xfId="1" applyFont="1" applyFill="1" applyBorder="1" applyAlignment="1">
      <alignment horizontal="center" vertical="center"/>
    </xf>
    <xf numFmtId="0" fontId="28" fillId="8" borderId="57" xfId="1" applyFont="1" applyFill="1" applyBorder="1" applyAlignment="1">
      <alignment horizontal="center" vertical="center"/>
    </xf>
    <xf numFmtId="0" fontId="29" fillId="0" borderId="58" xfId="1" applyFont="1" applyBorder="1">
      <alignment vertical="center"/>
    </xf>
    <xf numFmtId="0" fontId="29" fillId="0" borderId="59" xfId="1" applyFont="1" applyBorder="1">
      <alignment vertical="center"/>
    </xf>
    <xf numFmtId="0" fontId="29" fillId="0" borderId="62" xfId="1" applyFont="1" applyBorder="1">
      <alignment vertical="center"/>
    </xf>
    <xf numFmtId="0" fontId="28" fillId="0" borderId="0" xfId="1" applyFont="1">
      <alignment vertical="center"/>
    </xf>
    <xf numFmtId="0" fontId="29" fillId="0" borderId="35" xfId="1" applyFont="1" applyBorder="1">
      <alignment vertical="center"/>
    </xf>
    <xf numFmtId="0" fontId="29" fillId="0" borderId="64" xfId="1" applyFont="1" applyBorder="1">
      <alignment vertical="center"/>
    </xf>
    <xf numFmtId="0" fontId="29" fillId="0" borderId="56" xfId="1" applyFont="1" applyBorder="1">
      <alignment vertical="center"/>
    </xf>
    <xf numFmtId="0" fontId="29" fillId="0" borderId="65" xfId="1" applyFont="1" applyBorder="1">
      <alignment vertical="center"/>
    </xf>
    <xf numFmtId="0" fontId="28" fillId="8" borderId="60" xfId="1" applyFont="1" applyFill="1" applyBorder="1" applyAlignment="1">
      <alignment horizontal="center" vertical="center" wrapText="1"/>
    </xf>
    <xf numFmtId="0" fontId="29" fillId="0" borderId="34" xfId="1" applyFont="1" applyBorder="1">
      <alignment vertical="center"/>
    </xf>
    <xf numFmtId="0" fontId="29" fillId="0" borderId="0" xfId="1" applyFont="1">
      <alignment vertical="center"/>
    </xf>
    <xf numFmtId="0" fontId="29" fillId="0" borderId="61" xfId="1" applyFont="1" applyBorder="1">
      <alignment vertical="center"/>
    </xf>
    <xf numFmtId="0" fontId="29" fillId="0" borderId="33" xfId="1" applyFont="1" applyBorder="1">
      <alignment vertical="center"/>
    </xf>
    <xf numFmtId="0" fontId="29" fillId="0" borderId="63" xfId="1" applyFont="1" applyBorder="1">
      <alignment vertical="center"/>
    </xf>
    <xf numFmtId="0" fontId="29" fillId="2" borderId="20" xfId="1" applyFont="1" applyFill="1" applyBorder="1" applyAlignment="1">
      <alignment horizontal="center" vertical="center" wrapText="1"/>
    </xf>
    <xf numFmtId="0" fontId="29" fillId="2" borderId="20" xfId="1" applyFont="1" applyFill="1" applyBorder="1" applyAlignment="1">
      <alignment horizontal="center" vertical="center"/>
    </xf>
    <xf numFmtId="0" fontId="29" fillId="2" borderId="21" xfId="1" applyFont="1" applyFill="1" applyBorder="1" applyAlignment="1">
      <alignment horizontal="center" vertical="center"/>
    </xf>
    <xf numFmtId="0" fontId="29" fillId="2" borderId="22" xfId="1" applyFont="1" applyFill="1" applyBorder="1" applyAlignment="1">
      <alignment horizontal="center" vertical="center"/>
    </xf>
    <xf numFmtId="0" fontId="28" fillId="2" borderId="20" xfId="1" applyFont="1" applyFill="1" applyBorder="1" applyAlignment="1">
      <alignment horizontal="center" vertical="center" shrinkToFit="1"/>
    </xf>
    <xf numFmtId="0" fontId="28" fillId="2" borderId="21" xfId="1" applyFont="1" applyFill="1" applyBorder="1" applyAlignment="1">
      <alignment horizontal="center" vertical="center" shrinkToFit="1"/>
    </xf>
    <xf numFmtId="0" fontId="28" fillId="2" borderId="22" xfId="1" applyFont="1" applyFill="1" applyBorder="1" applyAlignment="1">
      <alignment horizontal="center" vertical="center" shrinkToFit="1"/>
    </xf>
    <xf numFmtId="0" fontId="28" fillId="2" borderId="20" xfId="1" applyFont="1" applyFill="1" applyBorder="1" applyAlignment="1">
      <alignment horizontal="center" vertical="center" wrapText="1"/>
    </xf>
    <xf numFmtId="0" fontId="28" fillId="2" borderId="21" xfId="1" applyFont="1" applyFill="1" applyBorder="1" applyAlignment="1">
      <alignment horizontal="center" vertical="center" wrapText="1"/>
    </xf>
    <xf numFmtId="0" fontId="28" fillId="2" borderId="22" xfId="1" applyFont="1" applyFill="1" applyBorder="1" applyAlignment="1">
      <alignment horizontal="center" vertical="center" wrapText="1"/>
    </xf>
    <xf numFmtId="0" fontId="28" fillId="2" borderId="20" xfId="1" applyFont="1" applyFill="1" applyBorder="1" applyAlignment="1">
      <alignment horizontal="center" vertical="center"/>
    </xf>
    <xf numFmtId="0" fontId="28" fillId="2" borderId="21" xfId="1" applyFont="1" applyFill="1" applyBorder="1" applyAlignment="1">
      <alignment horizontal="center" vertical="center"/>
    </xf>
    <xf numFmtId="0" fontId="28" fillId="2" borderId="22" xfId="1" applyFont="1" applyFill="1" applyBorder="1" applyAlignment="1">
      <alignment horizontal="center" vertical="center"/>
    </xf>
    <xf numFmtId="0" fontId="35" fillId="0" borderId="25" xfId="1" applyFont="1" applyBorder="1" applyAlignment="1">
      <alignment horizontal="center" vertical="center"/>
    </xf>
    <xf numFmtId="0" fontId="25" fillId="0" borderId="26" xfId="1" applyFont="1" applyBorder="1">
      <alignment vertical="center"/>
    </xf>
    <xf numFmtId="0" fontId="35" fillId="3" borderId="25" xfId="1" applyFont="1" applyFill="1" applyBorder="1" applyAlignment="1">
      <alignment horizontal="center" vertical="center"/>
    </xf>
    <xf numFmtId="0" fontId="28" fillId="2" borderId="1" xfId="1" applyFont="1" applyFill="1" applyBorder="1" applyAlignment="1">
      <alignment horizontal="center" vertical="center" wrapText="1"/>
    </xf>
    <xf numFmtId="0" fontId="28" fillId="2" borderId="2" xfId="1" applyFont="1" applyFill="1" applyBorder="1" applyAlignment="1">
      <alignment horizontal="center" vertical="center" wrapText="1"/>
    </xf>
    <xf numFmtId="0" fontId="28" fillId="2" borderId="14" xfId="1" applyFont="1" applyFill="1" applyBorder="1" applyAlignment="1">
      <alignment horizontal="center" vertical="center" wrapText="1"/>
    </xf>
    <xf numFmtId="0" fontId="28" fillId="2" borderId="5" xfId="1" applyFont="1" applyFill="1" applyBorder="1" applyAlignment="1">
      <alignment horizontal="center" vertical="center" wrapText="1"/>
    </xf>
    <xf numFmtId="0" fontId="28" fillId="2" borderId="0" xfId="1" applyFont="1" applyFill="1" applyAlignment="1">
      <alignment horizontal="center" vertical="center" wrapText="1"/>
    </xf>
    <xf numFmtId="0" fontId="28" fillId="2" borderId="15" xfId="1" applyFont="1" applyFill="1" applyBorder="1" applyAlignment="1">
      <alignment horizontal="center" vertical="center" wrapText="1"/>
    </xf>
    <xf numFmtId="0" fontId="28" fillId="2" borderId="9" xfId="1" applyFont="1" applyFill="1" applyBorder="1" applyAlignment="1">
      <alignment horizontal="center" vertical="center" wrapText="1"/>
    </xf>
    <xf numFmtId="0" fontId="28" fillId="2" borderId="8" xfId="1" applyFont="1" applyFill="1" applyBorder="1" applyAlignment="1">
      <alignment horizontal="center" vertical="center" wrapText="1"/>
    </xf>
    <xf numFmtId="0" fontId="28" fillId="2" borderId="16" xfId="1" applyFont="1" applyFill="1" applyBorder="1" applyAlignment="1">
      <alignment horizontal="center" vertical="center" wrapText="1"/>
    </xf>
    <xf numFmtId="0" fontId="33" fillId="0" borderId="66" xfId="1" applyFont="1" applyBorder="1" applyAlignment="1">
      <alignment horizontal="center" vertical="center" textRotation="255"/>
    </xf>
    <xf numFmtId="0" fontId="29" fillId="0" borderId="66" xfId="1" applyFont="1" applyBorder="1">
      <alignment vertical="center"/>
    </xf>
    <xf numFmtId="0" fontId="32" fillId="0" borderId="25" xfId="1" applyFont="1" applyBorder="1" applyAlignment="1">
      <alignment horizontal="center" vertical="center" textRotation="255"/>
    </xf>
    <xf numFmtId="0" fontId="25" fillId="0" borderId="25" xfId="1" applyFont="1" applyBorder="1">
      <alignment vertical="center"/>
    </xf>
    <xf numFmtId="0" fontId="23" fillId="0" borderId="28" xfId="1" applyFont="1" applyBorder="1" applyAlignment="1">
      <alignment horizontal="left" vertical="top" wrapText="1"/>
    </xf>
    <xf numFmtId="0" fontId="24" fillId="0" borderId="53" xfId="1" applyFont="1" applyBorder="1" applyAlignment="1">
      <alignment horizontal="left" vertical="top" wrapText="1"/>
    </xf>
    <xf numFmtId="0" fontId="24" fillId="0" borderId="29" xfId="1" applyFont="1" applyBorder="1" applyAlignment="1">
      <alignment horizontal="left" vertical="top" wrapText="1"/>
    </xf>
    <xf numFmtId="0" fontId="24" fillId="0" borderId="34" xfId="1" applyFont="1" applyBorder="1" applyAlignment="1">
      <alignment horizontal="left" vertical="top" wrapText="1"/>
    </xf>
    <xf numFmtId="0" fontId="23" fillId="0" borderId="0" xfId="1" applyFont="1" applyAlignment="1">
      <alignment horizontal="left" vertical="top" wrapText="1"/>
    </xf>
    <xf numFmtId="0" fontId="24" fillId="0" borderId="35" xfId="1" applyFont="1" applyBorder="1" applyAlignment="1">
      <alignment horizontal="left" vertical="top" wrapText="1"/>
    </xf>
    <xf numFmtId="0" fontId="24" fillId="0" borderId="30" xfId="1" applyFont="1" applyBorder="1" applyAlignment="1">
      <alignment horizontal="left" vertical="top" wrapText="1"/>
    </xf>
    <xf numFmtId="0" fontId="24" fillId="0" borderId="43" xfId="1" applyFont="1" applyBorder="1" applyAlignment="1">
      <alignment horizontal="left" vertical="top" wrapText="1"/>
    </xf>
    <xf numFmtId="0" fontId="24" fillId="0" borderId="31" xfId="1" applyFont="1" applyBorder="1" applyAlignment="1">
      <alignment horizontal="left" vertical="top" wrapText="1"/>
    </xf>
    <xf numFmtId="0" fontId="9" fillId="0" borderId="54" xfId="1" applyFont="1" applyBorder="1" applyAlignment="1">
      <alignment horizontal="left" vertical="top" wrapText="1"/>
    </xf>
    <xf numFmtId="0" fontId="25" fillId="0" borderId="54" xfId="1" applyFont="1" applyBorder="1" applyAlignment="1">
      <alignment horizontal="left" vertical="top"/>
    </xf>
    <xf numFmtId="0" fontId="25" fillId="0" borderId="55" xfId="1" applyFont="1" applyBorder="1" applyAlignment="1">
      <alignment horizontal="left" vertical="top"/>
    </xf>
    <xf numFmtId="9" fontId="34" fillId="0" borderId="67" xfId="1" applyNumberFormat="1" applyFont="1" applyBorder="1" applyAlignment="1">
      <alignment horizontal="center" vertical="center" wrapText="1"/>
    </xf>
    <xf numFmtId="0" fontId="34" fillId="0" borderId="68" xfId="1" applyFont="1" applyBorder="1" applyAlignment="1">
      <alignment horizontal="center" vertical="center" wrapText="1"/>
    </xf>
    <xf numFmtId="0" fontId="34" fillId="0" borderId="75" xfId="1" applyFont="1" applyBorder="1" applyAlignment="1">
      <alignment horizontal="center" vertical="center" wrapText="1"/>
    </xf>
    <xf numFmtId="0" fontId="34" fillId="0" borderId="76" xfId="1" applyFont="1" applyBorder="1" applyAlignment="1">
      <alignment horizontal="center" vertical="center" wrapText="1"/>
    </xf>
    <xf numFmtId="0" fontId="35" fillId="0" borderId="62" xfId="1" applyFont="1" applyBorder="1" applyAlignment="1">
      <alignment horizontal="center" vertical="center"/>
    </xf>
    <xf numFmtId="0" fontId="25" fillId="0" borderId="77" xfId="1" applyFont="1" applyBorder="1">
      <alignment vertical="center"/>
    </xf>
    <xf numFmtId="0" fontId="35" fillId="0" borderId="69" xfId="1" applyFont="1" applyBorder="1" applyAlignment="1">
      <alignment horizontal="center" vertical="center"/>
    </xf>
    <xf numFmtId="0" fontId="35" fillId="0" borderId="70" xfId="1" applyFont="1" applyBorder="1" applyAlignment="1">
      <alignment horizontal="center" vertical="center"/>
    </xf>
    <xf numFmtId="0" fontId="25" fillId="0" borderId="78" xfId="1" applyFont="1" applyBorder="1">
      <alignment vertical="center"/>
    </xf>
    <xf numFmtId="0" fontId="34" fillId="0" borderId="71" xfId="1" applyFont="1" applyBorder="1" applyAlignment="1">
      <alignment horizontal="center" vertical="center"/>
    </xf>
    <xf numFmtId="0" fontId="34" fillId="0" borderId="72" xfId="1" applyFont="1" applyBorder="1" applyAlignment="1">
      <alignment horizontal="center" vertical="center"/>
    </xf>
    <xf numFmtId="0" fontId="34" fillId="0" borderId="79" xfId="1" applyFont="1" applyBorder="1" applyAlignment="1">
      <alignment horizontal="center" vertical="center"/>
    </xf>
    <xf numFmtId="0" fontId="34" fillId="0" borderId="80" xfId="1" applyFont="1" applyBorder="1" applyAlignment="1">
      <alignment horizontal="center" vertical="center"/>
    </xf>
    <xf numFmtId="9" fontId="36" fillId="9" borderId="73" xfId="2" applyFont="1" applyFill="1" applyBorder="1" applyAlignment="1">
      <alignment horizontal="center" vertical="center" wrapText="1"/>
    </xf>
    <xf numFmtId="9" fontId="36" fillId="9" borderId="72" xfId="2" applyFont="1" applyFill="1" applyBorder="1" applyAlignment="1">
      <alignment horizontal="center" vertical="center" wrapText="1"/>
    </xf>
    <xf numFmtId="9" fontId="36" fillId="9" borderId="81" xfId="2" applyFont="1" applyFill="1" applyBorder="1" applyAlignment="1">
      <alignment horizontal="center" vertical="center" wrapText="1"/>
    </xf>
    <xf numFmtId="9" fontId="36" fillId="9" borderId="80" xfId="2" applyFont="1" applyFill="1" applyBorder="1" applyAlignment="1">
      <alignment horizontal="center" vertical="center" wrapText="1"/>
    </xf>
    <xf numFmtId="0" fontId="37" fillId="9" borderId="74" xfId="1" applyFont="1" applyFill="1" applyBorder="1" applyAlignment="1">
      <alignment horizontal="center" vertical="center" wrapText="1"/>
    </xf>
    <xf numFmtId="0" fontId="37" fillId="9" borderId="82" xfId="1" applyFont="1" applyFill="1" applyBorder="1" applyAlignment="1">
      <alignment horizontal="center" vertical="center" wrapText="1"/>
    </xf>
    <xf numFmtId="0" fontId="38" fillId="9" borderId="73" xfId="1" applyFont="1" applyFill="1" applyBorder="1" applyAlignment="1">
      <alignment horizontal="center" vertical="center"/>
    </xf>
    <xf numFmtId="0" fontId="38" fillId="9" borderId="72" xfId="1" applyFont="1" applyFill="1" applyBorder="1" applyAlignment="1">
      <alignment horizontal="center" vertical="center"/>
    </xf>
    <xf numFmtId="0" fontId="38" fillId="9" borderId="81" xfId="1" applyFont="1" applyFill="1" applyBorder="1" applyAlignment="1">
      <alignment horizontal="center" vertical="center"/>
    </xf>
    <xf numFmtId="0" fontId="38" fillId="9" borderId="80" xfId="1" applyFont="1" applyFill="1" applyBorder="1" applyAlignment="1">
      <alignment horizontal="center" vertical="center"/>
    </xf>
    <xf numFmtId="0" fontId="38" fillId="9" borderId="89" xfId="1" applyFont="1" applyFill="1" applyBorder="1" applyAlignment="1">
      <alignment horizontal="center" vertical="center"/>
    </xf>
    <xf numFmtId="0" fontId="38" fillId="9" borderId="88" xfId="1" applyFont="1" applyFill="1" applyBorder="1" applyAlignment="1">
      <alignment horizontal="center" vertical="center"/>
    </xf>
    <xf numFmtId="0" fontId="9" fillId="0" borderId="73" xfId="1" applyFont="1" applyBorder="1" applyAlignment="1">
      <alignment horizontal="center" vertical="center" wrapText="1"/>
    </xf>
    <xf numFmtId="0" fontId="9" fillId="0" borderId="74" xfId="1" applyFont="1" applyBorder="1" applyAlignment="1">
      <alignment horizontal="center" vertical="center" wrapText="1"/>
    </xf>
    <xf numFmtId="0" fontId="9" fillId="0" borderId="72" xfId="1" applyFont="1" applyBorder="1" applyAlignment="1">
      <alignment horizontal="center" vertical="center" wrapText="1"/>
    </xf>
    <xf numFmtId="0" fontId="9" fillId="0" borderId="81" xfId="1" applyFont="1" applyBorder="1" applyAlignment="1">
      <alignment horizontal="center" vertical="center" wrapText="1"/>
    </xf>
    <xf numFmtId="0" fontId="9" fillId="0" borderId="82" xfId="1" applyFont="1" applyBorder="1" applyAlignment="1">
      <alignment horizontal="center" vertical="center" wrapText="1"/>
    </xf>
    <xf numFmtId="0" fontId="9" fillId="0" borderId="80" xfId="1" applyFont="1" applyBorder="1" applyAlignment="1">
      <alignment horizontal="center" vertical="center" wrapText="1"/>
    </xf>
    <xf numFmtId="9" fontId="28" fillId="10" borderId="27" xfId="1" applyNumberFormat="1" applyFont="1" applyFill="1" applyBorder="1" applyAlignment="1">
      <alignment horizontal="center" vertical="center" shrinkToFit="1"/>
    </xf>
    <xf numFmtId="0" fontId="25" fillId="4" borderId="26" xfId="1" applyFont="1" applyFill="1" applyBorder="1">
      <alignment vertical="center"/>
    </xf>
    <xf numFmtId="0" fontId="28" fillId="0" borderId="27" xfId="1" applyFont="1" applyBorder="1" applyAlignment="1">
      <alignment horizontal="center" vertical="center" shrinkToFit="1"/>
    </xf>
    <xf numFmtId="0" fontId="28" fillId="0" borderId="84" xfId="1" applyFont="1" applyBorder="1" applyAlignment="1">
      <alignment horizontal="center" vertical="center" shrinkToFit="1"/>
    </xf>
    <xf numFmtId="0" fontId="32" fillId="0" borderId="27" xfId="1" applyFont="1" applyBorder="1" applyAlignment="1">
      <alignment horizontal="center" vertical="center" textRotation="255"/>
    </xf>
    <xf numFmtId="0" fontId="26" fillId="0" borderId="28" xfId="1" applyFont="1" applyBorder="1" applyAlignment="1">
      <alignment horizontal="center" vertical="center" wrapText="1"/>
    </xf>
    <xf numFmtId="0" fontId="25" fillId="0" borderId="53" xfId="1" applyFont="1" applyBorder="1" applyAlignment="1">
      <alignment horizontal="center" vertical="center"/>
    </xf>
    <xf numFmtId="0" fontId="25" fillId="0" borderId="29" xfId="1" applyFont="1" applyBorder="1" applyAlignment="1">
      <alignment horizontal="center" vertical="center"/>
    </xf>
    <xf numFmtId="0" fontId="25" fillId="0" borderId="34" xfId="1" applyFont="1" applyBorder="1" applyAlignment="1">
      <alignment horizontal="center" vertical="center"/>
    </xf>
    <xf numFmtId="0" fontId="9" fillId="0" borderId="0" xfId="1" applyFont="1" applyAlignment="1">
      <alignment horizontal="center" vertical="center"/>
    </xf>
    <xf numFmtId="0" fontId="25" fillId="0" borderId="35" xfId="1" applyFont="1" applyBorder="1" applyAlignment="1">
      <alignment horizontal="center" vertical="center"/>
    </xf>
    <xf numFmtId="0" fontId="25" fillId="0" borderId="30" xfId="1" applyFont="1" applyBorder="1" applyAlignment="1">
      <alignment horizontal="center" vertical="center"/>
    </xf>
    <xf numFmtId="0" fontId="25" fillId="0" borderId="43" xfId="1" applyFont="1" applyBorder="1" applyAlignment="1">
      <alignment horizontal="center" vertical="center"/>
    </xf>
    <xf numFmtId="0" fontId="25" fillId="0" borderId="31" xfId="1" applyFont="1" applyBorder="1" applyAlignment="1">
      <alignment horizontal="center" vertical="center"/>
    </xf>
    <xf numFmtId="0" fontId="27" fillId="0" borderId="55" xfId="1" applyFont="1" applyBorder="1" applyAlignment="1">
      <alignment horizontal="left" vertical="top" wrapText="1"/>
    </xf>
    <xf numFmtId="0" fontId="27" fillId="0" borderId="55" xfId="1" applyFont="1" applyBorder="1" applyAlignment="1">
      <alignment horizontal="left" vertical="top"/>
    </xf>
    <xf numFmtId="9" fontId="34" fillId="0" borderId="75" xfId="1" applyNumberFormat="1" applyFont="1" applyBorder="1" applyAlignment="1">
      <alignment horizontal="center" vertical="center" wrapText="1"/>
    </xf>
    <xf numFmtId="49" fontId="28" fillId="0" borderId="83" xfId="1" applyNumberFormat="1" applyFont="1" applyBorder="1" applyAlignment="1">
      <alignment horizontal="center" vertical="center" shrinkToFit="1"/>
    </xf>
    <xf numFmtId="0" fontId="25" fillId="0" borderId="85" xfId="1" applyFont="1" applyBorder="1">
      <alignment vertical="center"/>
    </xf>
    <xf numFmtId="0" fontId="35" fillId="0" borderId="27" xfId="1" applyFont="1" applyBorder="1" applyAlignment="1">
      <alignment horizontal="center" vertical="center"/>
    </xf>
    <xf numFmtId="0" fontId="35" fillId="0" borderId="28" xfId="1" applyFont="1" applyBorder="1" applyAlignment="1">
      <alignment horizontal="center" vertical="center"/>
    </xf>
    <xf numFmtId="0" fontId="25" fillId="0" borderId="30" xfId="1" applyFont="1" applyBorder="1">
      <alignment vertical="center"/>
    </xf>
    <xf numFmtId="0" fontId="35" fillId="0" borderId="29" xfId="1" applyFont="1" applyBorder="1" applyAlignment="1">
      <alignment horizontal="center" vertical="center"/>
    </xf>
    <xf numFmtId="0" fontId="25" fillId="0" borderId="31" xfId="1" applyFont="1" applyBorder="1">
      <alignment vertical="center"/>
    </xf>
    <xf numFmtId="0" fontId="35" fillId="3" borderId="27" xfId="1" applyFont="1" applyFill="1" applyBorder="1" applyAlignment="1">
      <alignment horizontal="center" vertical="center"/>
    </xf>
    <xf numFmtId="0" fontId="32" fillId="6" borderId="25" xfId="1" applyFont="1" applyFill="1" applyBorder="1" applyAlignment="1">
      <alignment horizontal="center" vertical="center" textRotation="255"/>
    </xf>
    <xf numFmtId="0" fontId="25" fillId="6" borderId="25" xfId="1" applyFont="1" applyFill="1" applyBorder="1">
      <alignment vertical="center"/>
    </xf>
    <xf numFmtId="0" fontId="25" fillId="6" borderId="26" xfId="1" applyFont="1" applyFill="1" applyBorder="1">
      <alignment vertical="center"/>
    </xf>
    <xf numFmtId="0" fontId="9" fillId="0" borderId="55" xfId="1" applyFont="1" applyBorder="1" applyAlignment="1">
      <alignment horizontal="left" vertical="top" wrapText="1"/>
    </xf>
    <xf numFmtId="0" fontId="25" fillId="0" borderId="55" xfId="1" applyFont="1" applyBorder="1" applyAlignment="1">
      <alignment horizontal="left" vertical="top" wrapText="1"/>
    </xf>
    <xf numFmtId="0" fontId="35" fillId="0" borderId="84" xfId="1" applyFont="1" applyBorder="1" applyAlignment="1">
      <alignment horizontal="center" vertical="center"/>
    </xf>
    <xf numFmtId="49" fontId="28" fillId="3" borderId="27" xfId="1" applyNumberFormat="1" applyFont="1" applyFill="1" applyBorder="1" applyAlignment="1">
      <alignment horizontal="center" vertical="center" shrinkToFit="1"/>
    </xf>
    <xf numFmtId="49" fontId="28" fillId="0" borderId="27" xfId="1" applyNumberFormat="1" applyFont="1" applyBorder="1" applyAlignment="1">
      <alignment horizontal="center" vertical="center" shrinkToFit="1"/>
    </xf>
    <xf numFmtId="49" fontId="28" fillId="4" borderId="27" xfId="1" applyNumberFormat="1" applyFont="1" applyFill="1" applyBorder="1" applyAlignment="1">
      <alignment horizontal="center" vertical="center" shrinkToFit="1"/>
    </xf>
    <xf numFmtId="49" fontId="28" fillId="0" borderId="84" xfId="1" applyNumberFormat="1" applyFont="1" applyBorder="1" applyAlignment="1">
      <alignment horizontal="center" vertical="center" shrinkToFit="1"/>
    </xf>
    <xf numFmtId="0" fontId="39" fillId="0" borderId="81" xfId="1" applyFont="1" applyBorder="1" applyAlignment="1">
      <alignment horizontal="center" vertical="center" wrapText="1"/>
    </xf>
    <xf numFmtId="0" fontId="39" fillId="0" borderId="82" xfId="1" applyFont="1" applyBorder="1" applyAlignment="1">
      <alignment horizontal="center" vertical="center" wrapText="1"/>
    </xf>
    <xf numFmtId="0" fontId="39" fillId="0" borderId="80" xfId="1" applyFont="1" applyBorder="1" applyAlignment="1">
      <alignment horizontal="center" vertical="center" wrapText="1"/>
    </xf>
    <xf numFmtId="0" fontId="40" fillId="0" borderId="83" xfId="1" applyFont="1" applyBorder="1" applyAlignment="1">
      <alignment horizontal="center" vertical="center" wrapText="1"/>
    </xf>
    <xf numFmtId="0" fontId="40" fillId="0" borderId="85" xfId="1" applyFont="1" applyBorder="1" applyAlignment="1">
      <alignment horizontal="center" vertical="center" wrapText="1"/>
    </xf>
    <xf numFmtId="0" fontId="40" fillId="0" borderId="27" xfId="1" applyFont="1" applyBorder="1" applyAlignment="1">
      <alignment horizontal="center" vertical="center" wrapText="1"/>
    </xf>
    <xf numFmtId="0" fontId="40" fillId="0" borderId="26" xfId="1" applyFont="1" applyBorder="1" applyAlignment="1">
      <alignment horizontal="center" vertical="center" wrapText="1"/>
    </xf>
    <xf numFmtId="0" fontId="41" fillId="7" borderId="27" xfId="1" applyFont="1" applyFill="1" applyBorder="1" applyAlignment="1">
      <alignment horizontal="center" vertical="center" wrapText="1"/>
    </xf>
    <xf numFmtId="0" fontId="41" fillId="7" borderId="26" xfId="1" applyFont="1" applyFill="1" applyBorder="1" applyAlignment="1">
      <alignment horizontal="center" vertical="center" wrapText="1"/>
    </xf>
    <xf numFmtId="0" fontId="41" fillId="4" borderId="27" xfId="1" applyFont="1" applyFill="1" applyBorder="1" applyAlignment="1">
      <alignment horizontal="center" vertical="center" wrapText="1"/>
    </xf>
    <xf numFmtId="0" fontId="41" fillId="4" borderId="26" xfId="1" applyFont="1" applyFill="1" applyBorder="1" applyAlignment="1">
      <alignment horizontal="center" vertical="center" wrapText="1"/>
    </xf>
    <xf numFmtId="0" fontId="41" fillId="0" borderId="27" xfId="1" applyFont="1" applyBorder="1" applyAlignment="1">
      <alignment horizontal="center" vertical="center" wrapText="1"/>
    </xf>
    <xf numFmtId="0" fontId="41" fillId="0" borderId="26" xfId="1" applyFont="1" applyBorder="1" applyAlignment="1">
      <alignment horizontal="center" vertical="center" wrapText="1"/>
    </xf>
    <xf numFmtId="0" fontId="41" fillId="0" borderId="84" xfId="1" applyFont="1" applyBorder="1" applyAlignment="1">
      <alignment horizontal="center" vertical="center" wrapText="1"/>
    </xf>
    <xf numFmtId="0" fontId="41" fillId="0" borderId="78" xfId="1" applyFont="1" applyBorder="1" applyAlignment="1">
      <alignment horizontal="center" vertical="center" wrapText="1"/>
    </xf>
    <xf numFmtId="0" fontId="9" fillId="0" borderId="89" xfId="1" applyFont="1" applyBorder="1" applyAlignment="1">
      <alignment horizontal="center" vertical="center" wrapText="1"/>
    </xf>
    <xf numFmtId="0" fontId="9" fillId="0" borderId="90" xfId="1" applyFont="1" applyBorder="1" applyAlignment="1">
      <alignment horizontal="center" vertical="center" wrapText="1"/>
    </xf>
    <xf numFmtId="0" fontId="9" fillId="0" borderId="88" xfId="1" applyFont="1" applyBorder="1" applyAlignment="1">
      <alignment horizontal="center" vertical="center" wrapText="1"/>
    </xf>
    <xf numFmtId="0" fontId="34" fillId="0" borderId="87" xfId="1" applyFont="1" applyBorder="1" applyAlignment="1">
      <alignment horizontal="center" vertical="center"/>
    </xf>
    <xf numFmtId="0" fontId="34" fillId="0" borderId="88" xfId="1" applyFont="1" applyBorder="1" applyAlignment="1">
      <alignment horizontal="center" vertical="center"/>
    </xf>
    <xf numFmtId="9" fontId="36" fillId="9" borderId="89" xfId="2" applyFont="1" applyFill="1" applyBorder="1" applyAlignment="1">
      <alignment horizontal="center" vertical="center" wrapText="1"/>
    </xf>
    <xf numFmtId="9" fontId="36" fillId="9" borderId="88" xfId="2" applyFont="1" applyFill="1" applyBorder="1" applyAlignment="1">
      <alignment horizontal="center" vertical="center" wrapText="1"/>
    </xf>
    <xf numFmtId="0" fontId="37" fillId="9" borderId="90" xfId="1" applyFont="1" applyFill="1" applyBorder="1" applyAlignment="1">
      <alignment horizontal="center" vertical="center" wrapText="1"/>
    </xf>
    <xf numFmtId="0" fontId="11" fillId="0" borderId="37" xfId="1" applyFont="1" applyBorder="1" applyAlignment="1">
      <alignment horizontal="center" vertical="center"/>
    </xf>
    <xf numFmtId="0" fontId="11" fillId="0" borderId="13" xfId="1" applyFont="1" applyBorder="1" applyAlignment="1">
      <alignment horizontal="center" vertical="center"/>
    </xf>
    <xf numFmtId="0" fontId="12" fillId="0" borderId="4" xfId="1" applyFont="1" applyBorder="1" applyAlignment="1">
      <alignment horizontal="center" vertical="center" wrapText="1"/>
    </xf>
    <xf numFmtId="0" fontId="12" fillId="0" borderId="2" xfId="1" applyFont="1" applyBorder="1" applyAlignment="1">
      <alignment horizontal="center" vertical="center" wrapText="1"/>
    </xf>
    <xf numFmtId="0" fontId="12" fillId="0" borderId="14" xfId="1" applyFont="1" applyBorder="1" applyAlignment="1">
      <alignment horizontal="center" vertical="center" wrapText="1"/>
    </xf>
    <xf numFmtId="0" fontId="12" fillId="0" borderId="11" xfId="1" applyFont="1" applyBorder="1" applyAlignment="1">
      <alignment horizontal="center" vertical="center" wrapText="1"/>
    </xf>
    <xf numFmtId="0" fontId="12" fillId="0" borderId="8" xfId="1" applyFont="1" applyBorder="1" applyAlignment="1">
      <alignment horizontal="center" vertical="center" wrapText="1"/>
    </xf>
    <xf numFmtId="0" fontId="12" fillId="0" borderId="16" xfId="1" applyFont="1" applyBorder="1" applyAlignment="1">
      <alignment horizontal="center" vertical="center" wrapText="1"/>
    </xf>
    <xf numFmtId="0" fontId="17" fillId="6" borderId="17" xfId="1" applyFont="1" applyFill="1" applyBorder="1" applyAlignment="1">
      <alignment horizontal="center" vertical="center" wrapText="1"/>
    </xf>
    <xf numFmtId="0" fontId="17" fillId="6" borderId="18" xfId="1" applyFont="1" applyFill="1" applyBorder="1" applyAlignment="1">
      <alignment horizontal="center" vertical="center" wrapText="1"/>
    </xf>
    <xf numFmtId="0" fontId="42" fillId="6" borderId="32" xfId="1" applyFont="1" applyFill="1" applyBorder="1" applyAlignment="1">
      <alignment horizontal="center" vertical="center" wrapText="1"/>
    </xf>
    <xf numFmtId="0" fontId="42" fillId="6" borderId="24" xfId="1" applyFont="1" applyFill="1" applyBorder="1" applyAlignment="1">
      <alignment horizontal="center" vertical="center" wrapText="1"/>
    </xf>
    <xf numFmtId="0" fontId="17" fillId="6" borderId="44" xfId="1" applyFont="1" applyFill="1" applyBorder="1" applyAlignment="1">
      <alignment horizontal="center" vertical="center" wrapText="1"/>
    </xf>
    <xf numFmtId="0" fontId="42" fillId="6" borderId="24" xfId="1" applyFont="1" applyFill="1" applyBorder="1" applyAlignment="1">
      <alignment horizontal="center" vertical="center"/>
    </xf>
    <xf numFmtId="0" fontId="42" fillId="6" borderId="45" xfId="1" applyFont="1" applyFill="1" applyBorder="1" applyAlignment="1">
      <alignment horizontal="center" vertical="center"/>
    </xf>
    <xf numFmtId="0" fontId="11" fillId="0" borderId="46" xfId="1" applyFont="1" applyBorder="1" applyAlignment="1">
      <alignment horizontal="center" vertical="center"/>
    </xf>
    <xf numFmtId="0" fontId="11" fillId="0" borderId="48" xfId="1" applyFont="1" applyBorder="1" applyAlignment="1">
      <alignment horizontal="center" vertical="center"/>
    </xf>
    <xf numFmtId="0" fontId="12" fillId="0" borderId="17" xfId="1" applyFont="1" applyBorder="1" applyAlignment="1">
      <alignment horizontal="center" vertical="center" wrapText="1"/>
    </xf>
    <xf numFmtId="0" fontId="12" fillId="0" borderId="32" xfId="1" applyFont="1" applyBorder="1" applyAlignment="1">
      <alignment horizontal="center" vertical="center" wrapText="1"/>
    </xf>
    <xf numFmtId="0" fontId="12" fillId="0" borderId="49" xfId="1" applyFont="1" applyBorder="1" applyAlignment="1">
      <alignment horizontal="center" vertical="center" wrapText="1"/>
    </xf>
    <xf numFmtId="0" fontId="12" fillId="0" borderId="50" xfId="1" applyFont="1" applyBorder="1" applyAlignment="1">
      <alignment horizontal="center" vertical="center" wrapText="1"/>
    </xf>
    <xf numFmtId="0" fontId="11" fillId="0" borderId="47" xfId="1" applyFont="1" applyBorder="1" applyAlignment="1">
      <alignment horizontal="center" vertical="center"/>
    </xf>
    <xf numFmtId="0" fontId="12" fillId="0" borderId="44" xfId="1" applyFont="1" applyBorder="1" applyAlignment="1">
      <alignment horizontal="center" vertical="center" wrapText="1"/>
    </xf>
    <xf numFmtId="0" fontId="12" fillId="0" borderId="45" xfId="1" applyFont="1" applyBorder="1" applyAlignment="1">
      <alignment horizontal="center" vertical="center" wrapText="1"/>
    </xf>
    <xf numFmtId="0" fontId="11" fillId="0" borderId="12" xfId="1" applyFont="1" applyBorder="1" applyAlignment="1">
      <alignment horizontal="center" vertical="center"/>
    </xf>
    <xf numFmtId="0" fontId="12" fillId="0" borderId="7" xfId="1" applyFont="1" applyBorder="1" applyAlignment="1">
      <alignment horizontal="center" vertical="center" wrapText="1"/>
    </xf>
    <xf numFmtId="0" fontId="12" fillId="0" borderId="0" xfId="1" applyFont="1" applyAlignment="1">
      <alignment horizontal="center" vertical="center" wrapText="1"/>
    </xf>
    <xf numFmtId="0" fontId="12" fillId="0" borderId="15" xfId="1" applyFont="1" applyBorder="1" applyAlignment="1">
      <alignment horizontal="center" vertical="center" wrapText="1"/>
    </xf>
    <xf numFmtId="0" fontId="28" fillId="0" borderId="55" xfId="1" applyFont="1" applyBorder="1" applyAlignment="1">
      <alignment horizontal="left" vertical="top" wrapText="1"/>
    </xf>
    <xf numFmtId="0" fontId="29" fillId="0" borderId="55" xfId="1" applyFont="1" applyBorder="1" applyAlignment="1">
      <alignment horizontal="left" vertical="top"/>
    </xf>
    <xf numFmtId="0" fontId="34" fillId="0" borderId="55" xfId="1" applyFont="1" applyBorder="1" applyAlignment="1">
      <alignment horizontal="center" vertical="center" wrapText="1"/>
    </xf>
    <xf numFmtId="0" fontId="34" fillId="0" borderId="86" xfId="1" applyFont="1" applyBorder="1" applyAlignment="1">
      <alignment horizontal="center" vertical="center"/>
    </xf>
    <xf numFmtId="0" fontId="34" fillId="0" borderId="55" xfId="1" applyFont="1" applyBorder="1" applyAlignment="1">
      <alignment horizontal="center" vertical="center"/>
    </xf>
    <xf numFmtId="176" fontId="17" fillId="0" borderId="4" xfId="1" applyNumberFormat="1" applyFont="1" applyBorder="1" applyAlignment="1">
      <alignment horizontal="center" vertical="center" wrapText="1"/>
    </xf>
    <xf numFmtId="176" fontId="17" fillId="0" borderId="14" xfId="1" applyNumberFormat="1" applyFont="1" applyBorder="1" applyAlignment="1">
      <alignment horizontal="center" vertical="center" wrapText="1"/>
    </xf>
    <xf numFmtId="176" fontId="17" fillId="0" borderId="7" xfId="1" applyNumberFormat="1" applyFont="1" applyBorder="1" applyAlignment="1">
      <alignment horizontal="center" vertical="center" wrapText="1"/>
    </xf>
    <xf numFmtId="176" fontId="17" fillId="0" borderId="15" xfId="1" applyNumberFormat="1" applyFont="1" applyBorder="1" applyAlignment="1">
      <alignment horizontal="center" vertical="center" wrapText="1"/>
    </xf>
    <xf numFmtId="176" fontId="17" fillId="0" borderId="11" xfId="1" applyNumberFormat="1" applyFont="1" applyBorder="1" applyAlignment="1">
      <alignment horizontal="center" vertical="center" wrapText="1"/>
    </xf>
    <xf numFmtId="176" fontId="17" fillId="0" borderId="16" xfId="1" applyNumberFormat="1" applyFont="1" applyBorder="1" applyAlignment="1">
      <alignment horizontal="center" vertical="center" wrapText="1"/>
    </xf>
    <xf numFmtId="9" fontId="17" fillId="0" borderId="4" xfId="1" applyNumberFormat="1" applyFont="1" applyBorder="1" applyAlignment="1">
      <alignment horizontal="center" vertical="center" wrapText="1"/>
    </xf>
    <xf numFmtId="9" fontId="17" fillId="0" borderId="14" xfId="1" applyNumberFormat="1" applyFont="1" applyBorder="1" applyAlignment="1">
      <alignment horizontal="center" vertical="center" wrapText="1"/>
    </xf>
    <xf numFmtId="9" fontId="17" fillId="0" borderId="7" xfId="1" applyNumberFormat="1" applyFont="1" applyBorder="1" applyAlignment="1">
      <alignment horizontal="center" vertical="center" wrapText="1"/>
    </xf>
    <xf numFmtId="9" fontId="17" fillId="0" borderId="15" xfId="1" applyNumberFormat="1" applyFont="1" applyBorder="1" applyAlignment="1">
      <alignment horizontal="center" vertical="center" wrapText="1"/>
    </xf>
    <xf numFmtId="9" fontId="17" fillId="0" borderId="11" xfId="1" applyNumberFormat="1" applyFont="1" applyBorder="1" applyAlignment="1">
      <alignment horizontal="center" vertical="center" wrapText="1"/>
    </xf>
    <xf numFmtId="9" fontId="17" fillId="0" borderId="16" xfId="1" applyNumberFormat="1" applyFont="1" applyBorder="1" applyAlignment="1">
      <alignment horizontal="center" vertical="center" wrapText="1"/>
    </xf>
    <xf numFmtId="0" fontId="15" fillId="0" borderId="1" xfId="0" applyFont="1" applyBorder="1" applyAlignment="1">
      <alignment horizontal="center" vertical="center" textRotation="255"/>
    </xf>
    <xf numFmtId="0" fontId="16" fillId="0" borderId="5" xfId="0" applyFont="1" applyBorder="1">
      <alignment vertical="center"/>
    </xf>
    <xf numFmtId="0" fontId="16" fillId="0" borderId="9" xfId="0" applyFont="1" applyBorder="1">
      <alignment vertical="center"/>
    </xf>
    <xf numFmtId="0" fontId="18" fillId="0" borderId="0" xfId="0" applyFont="1" applyAlignment="1">
      <alignment horizontal="center" vertical="center"/>
    </xf>
    <xf numFmtId="0" fontId="19" fillId="0" borderId="43" xfId="0" applyFont="1" applyBorder="1">
      <alignment vertical="center"/>
    </xf>
    <xf numFmtId="0" fontId="15" fillId="0" borderId="36" xfId="0" applyFont="1" applyBorder="1" applyAlignment="1">
      <alignment horizontal="center" vertical="center" textRotation="255"/>
    </xf>
    <xf numFmtId="0" fontId="16" fillId="0" borderId="6" xfId="0" applyFont="1" applyBorder="1">
      <alignment vertical="center"/>
    </xf>
    <xf numFmtId="0" fontId="16" fillId="0" borderId="10" xfId="0" applyFont="1" applyBorder="1">
      <alignment vertical="center"/>
    </xf>
    <xf numFmtId="0" fontId="2" fillId="0" borderId="51" xfId="0" applyFont="1" applyBorder="1" applyAlignment="1">
      <alignment horizontal="center" vertical="center"/>
    </xf>
    <xf numFmtId="0" fontId="2" fillId="0" borderId="52" xfId="0" applyFont="1" applyBorder="1" applyAlignment="1">
      <alignment horizontal="center" vertical="center"/>
    </xf>
    <xf numFmtId="0" fontId="17" fillId="0" borderId="17" xfId="1" applyFont="1" applyBorder="1" applyAlignment="1">
      <alignment horizontal="center" vertical="center" wrapText="1"/>
    </xf>
    <xf numFmtId="0" fontId="17" fillId="0" borderId="18" xfId="1" applyFont="1" applyBorder="1" applyAlignment="1">
      <alignment horizontal="center" vertical="center" wrapText="1"/>
    </xf>
    <xf numFmtId="0" fontId="17" fillId="0" borderId="44" xfId="1" applyFont="1" applyBorder="1" applyAlignment="1">
      <alignment horizontal="center" vertical="center" wrapText="1"/>
    </xf>
    <xf numFmtId="0" fontId="17" fillId="0" borderId="32" xfId="1" applyFont="1" applyBorder="1" applyAlignment="1">
      <alignment horizontal="center" vertical="center" wrapText="1"/>
    </xf>
    <xf numFmtId="0" fontId="17" fillId="0" borderId="24" xfId="1" applyFont="1" applyBorder="1" applyAlignment="1">
      <alignment horizontal="center" vertical="center" wrapText="1"/>
    </xf>
    <xf numFmtId="0" fontId="17" fillId="0" borderId="7" xfId="1" applyFont="1" applyBorder="1" applyAlignment="1">
      <alignment horizontal="center" vertical="center" wrapText="1"/>
    </xf>
    <xf numFmtId="0" fontId="17" fillId="0" borderId="15" xfId="1" applyFont="1" applyBorder="1" applyAlignment="1">
      <alignment horizontal="center" vertical="center" wrapText="1"/>
    </xf>
    <xf numFmtId="0" fontId="17" fillId="0" borderId="11" xfId="1" applyFont="1" applyBorder="1" applyAlignment="1">
      <alignment horizontal="center" vertical="center" wrapText="1"/>
    </xf>
    <xf numFmtId="0" fontId="17" fillId="0" borderId="16" xfId="1" applyFont="1" applyBorder="1" applyAlignment="1">
      <alignment horizontal="center" vertical="center" wrapText="1"/>
    </xf>
  </cellXfs>
  <cellStyles count="4">
    <cellStyle name="パーセント" xfId="3" builtinId="5"/>
    <cellStyle name="パーセント 2" xfId="2" xr:uid="{00000000-0005-0000-0000-000032000000}"/>
    <cellStyle name="標準" xfId="0" builtinId="0"/>
    <cellStyle name="標準 2 3" xfId="1" xr:uid="{00000000-0005-0000-0000-00001F000000}"/>
  </cellStyles>
  <dxfs count="5">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B2CB-7B1D-4B07-A550-7F2F0C8C7F59}">
  <dimension ref="A1:AF36"/>
  <sheetViews>
    <sheetView topLeftCell="A10" zoomScale="40" zoomScaleNormal="40" workbookViewId="0">
      <selection activeCell="K11" sqref="K11:K12"/>
    </sheetView>
  </sheetViews>
  <sheetFormatPr defaultColWidth="9" defaultRowHeight="12.75"/>
  <cols>
    <col min="1" max="1" width="9" style="2"/>
    <col min="2" max="2" width="9" style="2" customWidth="1"/>
    <col min="3" max="7" width="9.33203125" style="2" bestFit="1" customWidth="1"/>
    <col min="8" max="9" width="14.796875" style="2" customWidth="1"/>
    <col min="10" max="20" width="11.796875" style="2" customWidth="1"/>
    <col min="21" max="16384" width="9" style="2"/>
  </cols>
  <sheetData>
    <row r="1" spans="1:32" ht="13.8" customHeight="1" thickBot="1">
      <c r="H1" s="209" t="s">
        <v>58</v>
      </c>
      <c r="I1" s="209"/>
      <c r="J1" s="209"/>
      <c r="K1" s="209"/>
      <c r="W1" s="210" t="s">
        <v>59</v>
      </c>
      <c r="X1" s="210"/>
      <c r="Y1" s="210"/>
      <c r="Z1" s="210"/>
      <c r="AA1" s="210"/>
      <c r="AB1" s="210"/>
    </row>
    <row r="2" spans="1:32" s="1" customFormat="1" ht="23.25" customHeight="1">
      <c r="A2" s="20" t="s">
        <v>60</v>
      </c>
      <c r="B2" s="21"/>
      <c r="C2" s="211" t="s">
        <v>0</v>
      </c>
      <c r="D2" s="212"/>
      <c r="E2" s="213"/>
      <c r="F2" s="220" t="s">
        <v>1</v>
      </c>
      <c r="G2" s="213"/>
      <c r="H2" s="220" t="s">
        <v>2</v>
      </c>
      <c r="I2" s="212"/>
      <c r="J2" s="211" t="s">
        <v>3</v>
      </c>
      <c r="K2" s="212"/>
      <c r="L2" s="212"/>
      <c r="M2" s="212"/>
      <c r="N2" s="212"/>
      <c r="O2" s="212"/>
      <c r="P2" s="212"/>
      <c r="Q2" s="212"/>
      <c r="R2" s="212"/>
      <c r="S2" s="212"/>
      <c r="T2" s="223"/>
      <c r="U2" s="226" t="s">
        <v>4</v>
      </c>
      <c r="V2" s="227"/>
      <c r="W2" s="230" t="s">
        <v>5</v>
      </c>
      <c r="X2" s="230"/>
      <c r="Y2" s="233" t="s">
        <v>6</v>
      </c>
      <c r="Z2" s="233"/>
      <c r="AA2" s="233" t="s">
        <v>7</v>
      </c>
      <c r="AB2" s="236"/>
      <c r="AC2" s="242" t="s">
        <v>8</v>
      </c>
      <c r="AD2" s="243"/>
      <c r="AE2" s="243"/>
      <c r="AF2" s="244"/>
    </row>
    <row r="3" spans="1:32" s="1" customFormat="1" ht="23.25" customHeight="1">
      <c r="A3" s="22"/>
      <c r="B3" s="21"/>
      <c r="C3" s="214"/>
      <c r="D3" s="215"/>
      <c r="E3" s="216"/>
      <c r="F3" s="221"/>
      <c r="G3" s="216"/>
      <c r="H3" s="221"/>
      <c r="I3" s="222"/>
      <c r="J3" s="214"/>
      <c r="K3" s="215"/>
      <c r="L3" s="215"/>
      <c r="M3" s="215"/>
      <c r="N3" s="215"/>
      <c r="O3" s="215"/>
      <c r="P3" s="215"/>
      <c r="Q3" s="215"/>
      <c r="R3" s="215"/>
      <c r="S3" s="215"/>
      <c r="T3" s="224"/>
      <c r="U3" s="228"/>
      <c r="V3" s="228"/>
      <c r="W3" s="231"/>
      <c r="X3" s="231"/>
      <c r="Y3" s="234"/>
      <c r="Z3" s="234"/>
      <c r="AA3" s="237"/>
      <c r="AB3" s="237"/>
      <c r="AC3" s="245"/>
      <c r="AD3" s="246"/>
      <c r="AE3" s="246"/>
      <c r="AF3" s="247"/>
    </row>
    <row r="4" spans="1:32" s="1" customFormat="1" ht="23.25" customHeight="1" thickBot="1">
      <c r="A4" s="23"/>
      <c r="B4" s="24"/>
      <c r="C4" s="217"/>
      <c r="D4" s="218"/>
      <c r="E4" s="219"/>
      <c r="F4" s="221"/>
      <c r="G4" s="216"/>
      <c r="H4" s="221"/>
      <c r="I4" s="222"/>
      <c r="J4" s="217"/>
      <c r="K4" s="218"/>
      <c r="L4" s="218"/>
      <c r="M4" s="218"/>
      <c r="N4" s="218"/>
      <c r="O4" s="218"/>
      <c r="P4" s="218"/>
      <c r="Q4" s="218"/>
      <c r="R4" s="218"/>
      <c r="S4" s="218"/>
      <c r="T4" s="225"/>
      <c r="U4" s="229"/>
      <c r="V4" s="229"/>
      <c r="W4" s="232"/>
      <c r="X4" s="232"/>
      <c r="Y4" s="235"/>
      <c r="Z4" s="235"/>
      <c r="AA4" s="238"/>
      <c r="AB4" s="238"/>
      <c r="AC4" s="248"/>
      <c r="AD4" s="249"/>
      <c r="AE4" s="249"/>
      <c r="AF4" s="250"/>
    </row>
    <row r="5" spans="1:32" ht="30" customHeight="1">
      <c r="A5" s="251" t="s">
        <v>9</v>
      </c>
      <c r="B5" s="253" t="s">
        <v>10</v>
      </c>
      <c r="C5" s="255" t="s">
        <v>46</v>
      </c>
      <c r="D5" s="256"/>
      <c r="E5" s="257"/>
      <c r="F5" s="264" t="s">
        <v>47</v>
      </c>
      <c r="G5" s="265"/>
      <c r="H5" s="267">
        <v>1</v>
      </c>
      <c r="I5" s="268"/>
      <c r="J5" s="271">
        <v>0</v>
      </c>
      <c r="K5" s="273">
        <v>10</v>
      </c>
      <c r="L5" s="239">
        <v>20</v>
      </c>
      <c r="M5" s="239">
        <v>30</v>
      </c>
      <c r="N5" s="239">
        <v>40</v>
      </c>
      <c r="O5" s="239">
        <v>50</v>
      </c>
      <c r="P5" s="241">
        <v>60</v>
      </c>
      <c r="Q5" s="239">
        <v>70</v>
      </c>
      <c r="R5" s="239">
        <v>80</v>
      </c>
      <c r="S5" s="239">
        <v>90</v>
      </c>
      <c r="T5" s="274">
        <v>100</v>
      </c>
      <c r="U5" s="276">
        <v>60</v>
      </c>
      <c r="V5" s="277"/>
      <c r="W5" s="280">
        <v>0.3</v>
      </c>
      <c r="X5" s="281"/>
      <c r="Y5" s="284">
        <f>U5*W5</f>
        <v>18</v>
      </c>
      <c r="Z5" s="284"/>
      <c r="AA5" s="286">
        <f>SUM(Y5:Z16)</f>
        <v>46</v>
      </c>
      <c r="AB5" s="287"/>
      <c r="AC5" s="292"/>
      <c r="AD5" s="293"/>
      <c r="AE5" s="293"/>
      <c r="AF5" s="294"/>
    </row>
    <row r="6" spans="1:32" ht="30" customHeight="1">
      <c r="A6" s="252"/>
      <c r="B6" s="254"/>
      <c r="C6" s="258"/>
      <c r="D6" s="259"/>
      <c r="E6" s="260"/>
      <c r="F6" s="266"/>
      <c r="G6" s="266"/>
      <c r="H6" s="269"/>
      <c r="I6" s="270"/>
      <c r="J6" s="272"/>
      <c r="K6" s="240"/>
      <c r="L6" s="240"/>
      <c r="M6" s="240"/>
      <c r="N6" s="240"/>
      <c r="O6" s="240"/>
      <c r="P6" s="240"/>
      <c r="Q6" s="240"/>
      <c r="R6" s="240"/>
      <c r="S6" s="240"/>
      <c r="T6" s="275"/>
      <c r="U6" s="278"/>
      <c r="V6" s="279"/>
      <c r="W6" s="282"/>
      <c r="X6" s="283"/>
      <c r="Y6" s="285"/>
      <c r="Z6" s="285"/>
      <c r="AA6" s="288"/>
      <c r="AB6" s="289"/>
      <c r="AC6" s="295"/>
      <c r="AD6" s="296"/>
      <c r="AE6" s="296"/>
      <c r="AF6" s="297"/>
    </row>
    <row r="7" spans="1:32" ht="30" customHeight="1">
      <c r="A7" s="252"/>
      <c r="B7" s="254"/>
      <c r="C7" s="258"/>
      <c r="D7" s="259"/>
      <c r="E7" s="260"/>
      <c r="F7" s="266"/>
      <c r="G7" s="266"/>
      <c r="H7" s="269"/>
      <c r="I7" s="270"/>
      <c r="J7" s="315" t="s">
        <v>11</v>
      </c>
      <c r="K7" s="300">
        <v>75</v>
      </c>
      <c r="L7" s="300">
        <v>80</v>
      </c>
      <c r="M7" s="300">
        <v>85</v>
      </c>
      <c r="N7" s="300">
        <v>90</v>
      </c>
      <c r="O7" s="300">
        <v>95</v>
      </c>
      <c r="P7" s="298">
        <v>1</v>
      </c>
      <c r="Q7" s="300">
        <v>105</v>
      </c>
      <c r="R7" s="300">
        <v>110</v>
      </c>
      <c r="S7" s="300">
        <v>115</v>
      </c>
      <c r="T7" s="301" t="s">
        <v>12</v>
      </c>
      <c r="U7" s="278"/>
      <c r="V7" s="279"/>
      <c r="W7" s="282"/>
      <c r="X7" s="283"/>
      <c r="Y7" s="285"/>
      <c r="Z7" s="285"/>
      <c r="AA7" s="288"/>
      <c r="AB7" s="289"/>
      <c r="AC7" s="295"/>
      <c r="AD7" s="296"/>
      <c r="AE7" s="296"/>
      <c r="AF7" s="297"/>
    </row>
    <row r="8" spans="1:32" ht="30" customHeight="1">
      <c r="A8" s="252"/>
      <c r="B8" s="240"/>
      <c r="C8" s="261"/>
      <c r="D8" s="262"/>
      <c r="E8" s="263"/>
      <c r="F8" s="266"/>
      <c r="G8" s="266"/>
      <c r="H8" s="269"/>
      <c r="I8" s="270"/>
      <c r="J8" s="316"/>
      <c r="K8" s="240"/>
      <c r="L8" s="240"/>
      <c r="M8" s="240"/>
      <c r="N8" s="240"/>
      <c r="O8" s="240"/>
      <c r="P8" s="299"/>
      <c r="Q8" s="240"/>
      <c r="R8" s="240"/>
      <c r="S8" s="240"/>
      <c r="T8" s="275"/>
      <c r="U8" s="278"/>
      <c r="V8" s="279"/>
      <c r="W8" s="282"/>
      <c r="X8" s="283"/>
      <c r="Y8" s="285"/>
      <c r="Z8" s="285"/>
      <c r="AA8" s="288"/>
      <c r="AB8" s="289"/>
      <c r="AC8" s="295"/>
      <c r="AD8" s="296"/>
      <c r="AE8" s="296"/>
      <c r="AF8" s="297"/>
    </row>
    <row r="9" spans="1:32" ht="30" customHeight="1">
      <c r="A9" s="252"/>
      <c r="B9" s="302" t="s">
        <v>13</v>
      </c>
      <c r="C9" s="303" t="s">
        <v>21</v>
      </c>
      <c r="D9" s="304"/>
      <c r="E9" s="305"/>
      <c r="F9" s="312" t="s">
        <v>48</v>
      </c>
      <c r="G9" s="313"/>
      <c r="H9" s="314">
        <v>1</v>
      </c>
      <c r="I9" s="270"/>
      <c r="J9" s="271">
        <v>0</v>
      </c>
      <c r="K9" s="317">
        <v>10</v>
      </c>
      <c r="L9" s="317">
        <v>20</v>
      </c>
      <c r="M9" s="318">
        <v>30</v>
      </c>
      <c r="N9" s="317">
        <v>40</v>
      </c>
      <c r="O9" s="320">
        <v>50</v>
      </c>
      <c r="P9" s="322">
        <v>60</v>
      </c>
      <c r="Q9" s="317">
        <v>70</v>
      </c>
      <c r="R9" s="317">
        <v>80</v>
      </c>
      <c r="S9" s="317">
        <v>90</v>
      </c>
      <c r="T9" s="274">
        <v>100</v>
      </c>
      <c r="U9" s="278">
        <v>60</v>
      </c>
      <c r="V9" s="279"/>
      <c r="W9" s="282">
        <v>0.2</v>
      </c>
      <c r="X9" s="283"/>
      <c r="Y9" s="285">
        <f>U9*W9</f>
        <v>12</v>
      </c>
      <c r="Z9" s="285"/>
      <c r="AA9" s="288"/>
      <c r="AB9" s="289"/>
      <c r="AC9" s="295"/>
      <c r="AD9" s="296"/>
      <c r="AE9" s="296"/>
      <c r="AF9" s="297"/>
    </row>
    <row r="10" spans="1:32" ht="30" customHeight="1">
      <c r="A10" s="252"/>
      <c r="B10" s="254"/>
      <c r="C10" s="306"/>
      <c r="D10" s="307"/>
      <c r="E10" s="308"/>
      <c r="F10" s="313"/>
      <c r="G10" s="313"/>
      <c r="H10" s="269"/>
      <c r="I10" s="270"/>
      <c r="J10" s="272"/>
      <c r="K10" s="240"/>
      <c r="L10" s="240"/>
      <c r="M10" s="319"/>
      <c r="N10" s="240"/>
      <c r="O10" s="321"/>
      <c r="P10" s="240"/>
      <c r="Q10" s="240"/>
      <c r="R10" s="240"/>
      <c r="S10" s="240"/>
      <c r="T10" s="275"/>
      <c r="U10" s="278"/>
      <c r="V10" s="279"/>
      <c r="W10" s="282"/>
      <c r="X10" s="283"/>
      <c r="Y10" s="285"/>
      <c r="Z10" s="285"/>
      <c r="AA10" s="288"/>
      <c r="AB10" s="289"/>
      <c r="AC10" s="295"/>
      <c r="AD10" s="296"/>
      <c r="AE10" s="296"/>
      <c r="AF10" s="297"/>
    </row>
    <row r="11" spans="1:32" ht="30" customHeight="1">
      <c r="A11" s="252"/>
      <c r="B11" s="254"/>
      <c r="C11" s="306"/>
      <c r="D11" s="307"/>
      <c r="E11" s="308"/>
      <c r="F11" s="313"/>
      <c r="G11" s="313"/>
      <c r="H11" s="269"/>
      <c r="I11" s="270"/>
      <c r="J11" s="315" t="s">
        <v>24</v>
      </c>
      <c r="K11" s="300">
        <v>50</v>
      </c>
      <c r="L11" s="300">
        <v>60</v>
      </c>
      <c r="M11" s="300">
        <v>70</v>
      </c>
      <c r="N11" s="300">
        <v>80</v>
      </c>
      <c r="O11" s="300">
        <v>90</v>
      </c>
      <c r="P11" s="298">
        <v>1</v>
      </c>
      <c r="Q11" s="300">
        <v>150</v>
      </c>
      <c r="R11" s="300">
        <v>200</v>
      </c>
      <c r="S11" s="300">
        <v>250</v>
      </c>
      <c r="T11" s="301" t="s">
        <v>25</v>
      </c>
      <c r="U11" s="278"/>
      <c r="V11" s="279"/>
      <c r="W11" s="282"/>
      <c r="X11" s="283"/>
      <c r="Y11" s="285"/>
      <c r="Z11" s="285"/>
      <c r="AA11" s="288"/>
      <c r="AB11" s="289"/>
      <c r="AC11" s="295"/>
      <c r="AD11" s="296"/>
      <c r="AE11" s="296"/>
      <c r="AF11" s="297"/>
    </row>
    <row r="12" spans="1:32" ht="30" customHeight="1">
      <c r="A12" s="252"/>
      <c r="B12" s="240"/>
      <c r="C12" s="309"/>
      <c r="D12" s="310"/>
      <c r="E12" s="311"/>
      <c r="F12" s="313"/>
      <c r="G12" s="313"/>
      <c r="H12" s="269"/>
      <c r="I12" s="270"/>
      <c r="J12" s="316"/>
      <c r="K12" s="240"/>
      <c r="L12" s="240"/>
      <c r="M12" s="240"/>
      <c r="N12" s="254"/>
      <c r="O12" s="240"/>
      <c r="P12" s="299"/>
      <c r="Q12" s="240"/>
      <c r="R12" s="240"/>
      <c r="S12" s="240"/>
      <c r="T12" s="275"/>
      <c r="U12" s="278"/>
      <c r="V12" s="279"/>
      <c r="W12" s="282"/>
      <c r="X12" s="283"/>
      <c r="Y12" s="285"/>
      <c r="Z12" s="285"/>
      <c r="AA12" s="288"/>
      <c r="AB12" s="289"/>
      <c r="AC12" s="295"/>
      <c r="AD12" s="296"/>
      <c r="AE12" s="296"/>
      <c r="AF12" s="297"/>
    </row>
    <row r="13" spans="1:32" ht="30" customHeight="1">
      <c r="A13" s="252"/>
      <c r="B13" s="323" t="s">
        <v>14</v>
      </c>
      <c r="C13" s="303" t="s">
        <v>49</v>
      </c>
      <c r="D13" s="304"/>
      <c r="E13" s="305"/>
      <c r="F13" s="326" t="s">
        <v>50</v>
      </c>
      <c r="G13" s="327"/>
      <c r="H13" s="314">
        <v>0.8</v>
      </c>
      <c r="I13" s="270"/>
      <c r="J13" s="271">
        <v>0</v>
      </c>
      <c r="K13" s="317">
        <v>10</v>
      </c>
      <c r="L13" s="317">
        <v>20</v>
      </c>
      <c r="M13" s="317">
        <v>30</v>
      </c>
      <c r="N13" s="317">
        <v>40</v>
      </c>
      <c r="O13" s="317">
        <v>50</v>
      </c>
      <c r="P13" s="322">
        <v>60</v>
      </c>
      <c r="Q13" s="317">
        <v>70</v>
      </c>
      <c r="R13" s="239">
        <v>80</v>
      </c>
      <c r="S13" s="239">
        <v>90</v>
      </c>
      <c r="T13" s="328">
        <v>100</v>
      </c>
      <c r="U13" s="278">
        <v>80</v>
      </c>
      <c r="V13" s="279"/>
      <c r="W13" s="282">
        <v>0.2</v>
      </c>
      <c r="X13" s="283"/>
      <c r="Y13" s="285">
        <f>U13*W13</f>
        <v>16</v>
      </c>
      <c r="Z13" s="285"/>
      <c r="AA13" s="288"/>
      <c r="AB13" s="289"/>
      <c r="AC13" s="295"/>
      <c r="AD13" s="296"/>
      <c r="AE13" s="296"/>
      <c r="AF13" s="297"/>
    </row>
    <row r="14" spans="1:32" ht="30" customHeight="1">
      <c r="A14" s="252"/>
      <c r="B14" s="324"/>
      <c r="C14" s="306"/>
      <c r="D14" s="307"/>
      <c r="E14" s="308"/>
      <c r="F14" s="327"/>
      <c r="G14" s="327"/>
      <c r="H14" s="269"/>
      <c r="I14" s="270"/>
      <c r="J14" s="272"/>
      <c r="K14" s="240"/>
      <c r="L14" s="240"/>
      <c r="M14" s="240"/>
      <c r="N14" s="240"/>
      <c r="O14" s="240"/>
      <c r="P14" s="240"/>
      <c r="Q14" s="240"/>
      <c r="R14" s="240"/>
      <c r="S14" s="240"/>
      <c r="T14" s="275"/>
      <c r="U14" s="278"/>
      <c r="V14" s="279"/>
      <c r="W14" s="282"/>
      <c r="X14" s="283"/>
      <c r="Y14" s="285"/>
      <c r="Z14" s="285"/>
      <c r="AA14" s="288"/>
      <c r="AB14" s="289"/>
      <c r="AC14" s="295"/>
      <c r="AD14" s="296"/>
      <c r="AE14" s="296"/>
      <c r="AF14" s="297"/>
    </row>
    <row r="15" spans="1:32" ht="30" customHeight="1">
      <c r="A15" s="252"/>
      <c r="B15" s="324"/>
      <c r="C15" s="306"/>
      <c r="D15" s="307"/>
      <c r="E15" s="308"/>
      <c r="F15" s="327"/>
      <c r="G15" s="327"/>
      <c r="H15" s="269"/>
      <c r="I15" s="270"/>
      <c r="J15" s="315" t="s">
        <v>61</v>
      </c>
      <c r="K15" s="330" t="s">
        <v>62</v>
      </c>
      <c r="L15" s="330" t="s">
        <v>63</v>
      </c>
      <c r="M15" s="330" t="s">
        <v>64</v>
      </c>
      <c r="N15" s="330" t="s">
        <v>65</v>
      </c>
      <c r="O15" s="330" t="s">
        <v>66</v>
      </c>
      <c r="P15" s="329" t="s">
        <v>67</v>
      </c>
      <c r="Q15" s="330" t="s">
        <v>68</v>
      </c>
      <c r="R15" s="331" t="s">
        <v>69</v>
      </c>
      <c r="S15" s="330" t="s">
        <v>70</v>
      </c>
      <c r="T15" s="332" t="s">
        <v>71</v>
      </c>
      <c r="U15" s="278"/>
      <c r="V15" s="279"/>
      <c r="W15" s="282"/>
      <c r="X15" s="283"/>
      <c r="Y15" s="285"/>
      <c r="Z15" s="285"/>
      <c r="AA15" s="288"/>
      <c r="AB15" s="289"/>
      <c r="AC15" s="295"/>
      <c r="AD15" s="296"/>
      <c r="AE15" s="296"/>
      <c r="AF15" s="297"/>
    </row>
    <row r="16" spans="1:32" ht="30" customHeight="1" thickBot="1">
      <c r="A16" s="252"/>
      <c r="B16" s="325"/>
      <c r="C16" s="309"/>
      <c r="D16" s="310"/>
      <c r="E16" s="311"/>
      <c r="F16" s="327"/>
      <c r="G16" s="327"/>
      <c r="H16" s="269"/>
      <c r="I16" s="270"/>
      <c r="J16" s="316"/>
      <c r="K16" s="240"/>
      <c r="L16" s="240"/>
      <c r="M16" s="240"/>
      <c r="N16" s="240"/>
      <c r="O16" s="240"/>
      <c r="P16" s="240"/>
      <c r="Q16" s="240"/>
      <c r="R16" s="299"/>
      <c r="S16" s="240"/>
      <c r="T16" s="275"/>
      <c r="U16" s="278"/>
      <c r="V16" s="279"/>
      <c r="W16" s="282"/>
      <c r="X16" s="283"/>
      <c r="Y16" s="285"/>
      <c r="Z16" s="285"/>
      <c r="AA16" s="288"/>
      <c r="AB16" s="289"/>
      <c r="AC16" s="295"/>
      <c r="AD16" s="296"/>
      <c r="AE16" s="296"/>
      <c r="AF16" s="297"/>
    </row>
    <row r="17" spans="1:32" ht="30" customHeight="1">
      <c r="A17" s="252"/>
      <c r="B17" s="302" t="s">
        <v>15</v>
      </c>
      <c r="C17" s="303" t="s">
        <v>22</v>
      </c>
      <c r="D17" s="304"/>
      <c r="E17" s="305"/>
      <c r="F17" s="326" t="s">
        <v>51</v>
      </c>
      <c r="G17" s="266"/>
      <c r="H17" s="364" t="s">
        <v>40</v>
      </c>
      <c r="I17" s="366">
        <v>0</v>
      </c>
      <c r="J17" s="271">
        <v>0</v>
      </c>
      <c r="K17" s="317">
        <v>10</v>
      </c>
      <c r="L17" s="317">
        <v>20</v>
      </c>
      <c r="M17" s="318">
        <v>30</v>
      </c>
      <c r="N17" s="317">
        <v>40</v>
      </c>
      <c r="O17" s="320">
        <v>50</v>
      </c>
      <c r="P17" s="322">
        <v>60</v>
      </c>
      <c r="Q17" s="317">
        <v>70</v>
      </c>
      <c r="R17" s="317">
        <v>80</v>
      </c>
      <c r="S17" s="317">
        <v>90</v>
      </c>
      <c r="T17" s="274">
        <v>100</v>
      </c>
      <c r="U17" s="278">
        <v>70</v>
      </c>
      <c r="V17" s="279"/>
      <c r="W17" s="282">
        <v>0.15</v>
      </c>
      <c r="X17" s="283"/>
      <c r="Y17" s="285">
        <f>U17*W17</f>
        <v>10.5</v>
      </c>
      <c r="Z17" s="285"/>
      <c r="AA17" s="288"/>
      <c r="AB17" s="289"/>
      <c r="AC17" s="333" t="s">
        <v>72</v>
      </c>
      <c r="AD17" s="334"/>
      <c r="AE17" s="334"/>
      <c r="AF17" s="335"/>
    </row>
    <row r="18" spans="1:32" ht="30" customHeight="1">
      <c r="A18" s="252"/>
      <c r="B18" s="254"/>
      <c r="C18" s="306"/>
      <c r="D18" s="307"/>
      <c r="E18" s="308"/>
      <c r="F18" s="266"/>
      <c r="G18" s="266"/>
      <c r="H18" s="365"/>
      <c r="I18" s="367"/>
      <c r="J18" s="272"/>
      <c r="K18" s="240"/>
      <c r="L18" s="240"/>
      <c r="M18" s="319"/>
      <c r="N18" s="240"/>
      <c r="O18" s="321"/>
      <c r="P18" s="240"/>
      <c r="Q18" s="240"/>
      <c r="R18" s="240"/>
      <c r="S18" s="240"/>
      <c r="T18" s="275"/>
      <c r="U18" s="278"/>
      <c r="V18" s="279"/>
      <c r="W18" s="282"/>
      <c r="X18" s="283"/>
      <c r="Y18" s="285"/>
      <c r="Z18" s="285"/>
      <c r="AA18" s="288"/>
      <c r="AB18" s="289"/>
      <c r="AC18" s="333"/>
      <c r="AD18" s="334"/>
      <c r="AE18" s="334"/>
      <c r="AF18" s="335"/>
    </row>
    <row r="19" spans="1:32" ht="30" customHeight="1">
      <c r="A19" s="252"/>
      <c r="B19" s="254"/>
      <c r="C19" s="306"/>
      <c r="D19" s="307"/>
      <c r="E19" s="308"/>
      <c r="F19" s="266"/>
      <c r="G19" s="266"/>
      <c r="H19" s="365" t="s">
        <v>41</v>
      </c>
      <c r="I19" s="369">
        <v>0</v>
      </c>
      <c r="J19" s="336" t="s">
        <v>73</v>
      </c>
      <c r="K19" s="338" t="s">
        <v>28</v>
      </c>
      <c r="L19" s="338" t="s">
        <v>29</v>
      </c>
      <c r="M19" s="338" t="s">
        <v>30</v>
      </c>
      <c r="N19" s="338" t="s">
        <v>31</v>
      </c>
      <c r="O19" s="338" t="s">
        <v>32</v>
      </c>
      <c r="P19" s="340" t="s">
        <v>33</v>
      </c>
      <c r="Q19" s="342" t="s">
        <v>34</v>
      </c>
      <c r="R19" s="344" t="s">
        <v>35</v>
      </c>
      <c r="S19" s="344" t="s">
        <v>36</v>
      </c>
      <c r="T19" s="346" t="s">
        <v>37</v>
      </c>
      <c r="U19" s="278"/>
      <c r="V19" s="279"/>
      <c r="W19" s="282"/>
      <c r="X19" s="283"/>
      <c r="Y19" s="285"/>
      <c r="Z19" s="285"/>
      <c r="AA19" s="288"/>
      <c r="AB19" s="289"/>
      <c r="AC19" s="333"/>
      <c r="AD19" s="334"/>
      <c r="AE19" s="334"/>
      <c r="AF19" s="335"/>
    </row>
    <row r="20" spans="1:32" ht="30" customHeight="1" thickBot="1">
      <c r="A20" s="252"/>
      <c r="B20" s="240"/>
      <c r="C20" s="309"/>
      <c r="D20" s="310"/>
      <c r="E20" s="311"/>
      <c r="F20" s="266"/>
      <c r="G20" s="266"/>
      <c r="H20" s="368"/>
      <c r="I20" s="370"/>
      <c r="J20" s="337"/>
      <c r="K20" s="339"/>
      <c r="L20" s="339"/>
      <c r="M20" s="339"/>
      <c r="N20" s="339"/>
      <c r="O20" s="339"/>
      <c r="P20" s="341"/>
      <c r="Q20" s="343"/>
      <c r="R20" s="345"/>
      <c r="S20" s="345"/>
      <c r="T20" s="347"/>
      <c r="U20" s="278"/>
      <c r="V20" s="279"/>
      <c r="W20" s="282"/>
      <c r="X20" s="283"/>
      <c r="Y20" s="285"/>
      <c r="Z20" s="285"/>
      <c r="AA20" s="288"/>
      <c r="AB20" s="289"/>
      <c r="AC20" s="333"/>
      <c r="AD20" s="334"/>
      <c r="AE20" s="334"/>
      <c r="AF20" s="335"/>
    </row>
    <row r="21" spans="1:32" ht="30" customHeight="1">
      <c r="A21" s="252"/>
      <c r="B21" s="253" t="s">
        <v>74</v>
      </c>
      <c r="C21" s="303" t="s">
        <v>52</v>
      </c>
      <c r="D21" s="304"/>
      <c r="E21" s="305"/>
      <c r="F21" s="384" t="s">
        <v>53</v>
      </c>
      <c r="G21" s="385"/>
      <c r="H21" s="386">
        <v>50</v>
      </c>
      <c r="I21" s="387"/>
      <c r="J21" s="271">
        <v>0</v>
      </c>
      <c r="K21" s="317">
        <v>10</v>
      </c>
      <c r="L21" s="317">
        <v>20</v>
      </c>
      <c r="M21" s="317">
        <v>30</v>
      </c>
      <c r="N21" s="317">
        <v>40</v>
      </c>
      <c r="O21" s="317">
        <v>50</v>
      </c>
      <c r="P21" s="322">
        <v>60</v>
      </c>
      <c r="Q21" s="317">
        <v>70</v>
      </c>
      <c r="R21" s="239">
        <v>80</v>
      </c>
      <c r="S21" s="239">
        <v>90</v>
      </c>
      <c r="T21" s="328">
        <v>100</v>
      </c>
      <c r="U21" s="278">
        <v>80</v>
      </c>
      <c r="V21" s="279"/>
      <c r="W21" s="282">
        <v>0.15</v>
      </c>
      <c r="X21" s="283"/>
      <c r="Y21" s="285">
        <f>U21*W21</f>
        <v>12</v>
      </c>
      <c r="Z21" s="285"/>
      <c r="AA21" s="288"/>
      <c r="AB21" s="289"/>
      <c r="AC21" s="295"/>
      <c r="AD21" s="296"/>
      <c r="AE21" s="296"/>
      <c r="AF21" s="297"/>
    </row>
    <row r="22" spans="1:32" ht="30" customHeight="1">
      <c r="A22" s="252"/>
      <c r="B22" s="254"/>
      <c r="C22" s="306"/>
      <c r="D22" s="307"/>
      <c r="E22" s="308"/>
      <c r="F22" s="385"/>
      <c r="G22" s="385"/>
      <c r="H22" s="388"/>
      <c r="I22" s="387"/>
      <c r="J22" s="272"/>
      <c r="K22" s="240"/>
      <c r="L22" s="240"/>
      <c r="M22" s="240"/>
      <c r="N22" s="240"/>
      <c r="O22" s="240"/>
      <c r="P22" s="240"/>
      <c r="Q22" s="240"/>
      <c r="R22" s="240"/>
      <c r="S22" s="240"/>
      <c r="T22" s="275"/>
      <c r="U22" s="278"/>
      <c r="V22" s="279"/>
      <c r="W22" s="282"/>
      <c r="X22" s="283"/>
      <c r="Y22" s="285"/>
      <c r="Z22" s="285"/>
      <c r="AA22" s="288"/>
      <c r="AB22" s="289"/>
      <c r="AC22" s="295"/>
      <c r="AD22" s="296"/>
      <c r="AE22" s="296"/>
      <c r="AF22" s="297"/>
    </row>
    <row r="23" spans="1:32" ht="30" customHeight="1">
      <c r="A23" s="252"/>
      <c r="B23" s="254"/>
      <c r="C23" s="306"/>
      <c r="D23" s="307"/>
      <c r="E23" s="308"/>
      <c r="F23" s="385"/>
      <c r="G23" s="385"/>
      <c r="H23" s="388"/>
      <c r="I23" s="387"/>
      <c r="J23" s="315" t="s">
        <v>38</v>
      </c>
      <c r="K23" s="330" t="s">
        <v>62</v>
      </c>
      <c r="L23" s="330" t="s">
        <v>75</v>
      </c>
      <c r="M23" s="330" t="s">
        <v>63</v>
      </c>
      <c r="N23" s="330" t="s">
        <v>76</v>
      </c>
      <c r="O23" s="330" t="s">
        <v>64</v>
      </c>
      <c r="P23" s="329" t="s">
        <v>65</v>
      </c>
      <c r="Q23" s="330" t="s">
        <v>77</v>
      </c>
      <c r="R23" s="331" t="s">
        <v>66</v>
      </c>
      <c r="S23" s="330" t="s">
        <v>78</v>
      </c>
      <c r="T23" s="332" t="s">
        <v>39</v>
      </c>
      <c r="U23" s="278"/>
      <c r="V23" s="279"/>
      <c r="W23" s="282"/>
      <c r="X23" s="283"/>
      <c r="Y23" s="285"/>
      <c r="Z23" s="285"/>
      <c r="AA23" s="288"/>
      <c r="AB23" s="289"/>
      <c r="AC23" s="295"/>
      <c r="AD23" s="296"/>
      <c r="AE23" s="296"/>
      <c r="AF23" s="297"/>
    </row>
    <row r="24" spans="1:32" ht="30" customHeight="1" thickBot="1">
      <c r="A24" s="252"/>
      <c r="B24" s="240"/>
      <c r="C24" s="309"/>
      <c r="D24" s="310"/>
      <c r="E24" s="311"/>
      <c r="F24" s="385"/>
      <c r="G24" s="385"/>
      <c r="H24" s="388"/>
      <c r="I24" s="387"/>
      <c r="J24" s="316"/>
      <c r="K24" s="240"/>
      <c r="L24" s="240"/>
      <c r="M24" s="240"/>
      <c r="N24" s="240"/>
      <c r="O24" s="240"/>
      <c r="P24" s="240"/>
      <c r="Q24" s="240"/>
      <c r="R24" s="299"/>
      <c r="S24" s="240"/>
      <c r="T24" s="275"/>
      <c r="U24" s="351"/>
      <c r="V24" s="352"/>
      <c r="W24" s="353"/>
      <c r="X24" s="354"/>
      <c r="Y24" s="355"/>
      <c r="Z24" s="355"/>
      <c r="AA24" s="290"/>
      <c r="AB24" s="291"/>
      <c r="AC24" s="348"/>
      <c r="AD24" s="349"/>
      <c r="AE24" s="349"/>
      <c r="AF24" s="350"/>
    </row>
    <row r="25" spans="1:32" ht="13.15" thickBot="1"/>
    <row r="26" spans="1:32" ht="50" customHeight="1">
      <c r="B26" s="371" t="s">
        <v>16</v>
      </c>
      <c r="C26" s="373" t="s">
        <v>54</v>
      </c>
      <c r="D26" s="373"/>
      <c r="E26" s="373"/>
      <c r="F26" s="373"/>
      <c r="G26" s="373"/>
      <c r="H26" s="373"/>
      <c r="I26" s="373"/>
      <c r="J26" s="373"/>
      <c r="K26" s="373"/>
      <c r="L26" s="373"/>
      <c r="M26" s="374"/>
    </row>
    <row r="27" spans="1:32" ht="50" customHeight="1" thickBot="1">
      <c r="B27" s="372"/>
      <c r="C27" s="375"/>
      <c r="D27" s="375"/>
      <c r="E27" s="375"/>
      <c r="F27" s="375"/>
      <c r="G27" s="375"/>
      <c r="H27" s="375"/>
      <c r="I27" s="375"/>
      <c r="J27" s="375"/>
      <c r="K27" s="375"/>
      <c r="L27" s="375"/>
      <c r="M27" s="376"/>
    </row>
    <row r="28" spans="1:32" ht="50" customHeight="1">
      <c r="B28" s="371" t="s">
        <v>17</v>
      </c>
      <c r="C28" s="373" t="s">
        <v>55</v>
      </c>
      <c r="D28" s="373"/>
      <c r="E28" s="373"/>
      <c r="F28" s="373"/>
      <c r="G28" s="373"/>
      <c r="H28" s="373"/>
      <c r="I28" s="373"/>
      <c r="J28" s="373"/>
      <c r="K28" s="373"/>
      <c r="L28" s="373"/>
      <c r="M28" s="374"/>
    </row>
    <row r="29" spans="1:32" ht="50" customHeight="1" thickBot="1">
      <c r="B29" s="377"/>
      <c r="C29" s="378"/>
      <c r="D29" s="378"/>
      <c r="E29" s="378"/>
      <c r="F29" s="378"/>
      <c r="G29" s="378"/>
      <c r="H29" s="378"/>
      <c r="I29" s="378"/>
      <c r="J29" s="378"/>
      <c r="K29" s="378"/>
      <c r="L29" s="378"/>
      <c r="M29" s="379"/>
    </row>
    <row r="30" spans="1:32" ht="50" customHeight="1">
      <c r="B30" s="356" t="s">
        <v>18</v>
      </c>
      <c r="C30" s="358" t="s">
        <v>43</v>
      </c>
      <c r="D30" s="359"/>
      <c r="E30" s="359"/>
      <c r="F30" s="359"/>
      <c r="G30" s="359"/>
      <c r="H30" s="359"/>
      <c r="I30" s="359"/>
      <c r="J30" s="359"/>
      <c r="K30" s="359"/>
      <c r="L30" s="359"/>
      <c r="M30" s="360"/>
    </row>
    <row r="31" spans="1:32" ht="50" customHeight="1">
      <c r="B31" s="380"/>
      <c r="C31" s="381"/>
      <c r="D31" s="382"/>
      <c r="E31" s="382"/>
      <c r="F31" s="382"/>
      <c r="G31" s="382"/>
      <c r="H31" s="382"/>
      <c r="I31" s="382"/>
      <c r="J31" s="382"/>
      <c r="K31" s="382"/>
      <c r="L31" s="382"/>
      <c r="M31" s="383"/>
    </row>
    <row r="32" spans="1:32" ht="50" customHeight="1" thickBot="1">
      <c r="B32" s="357"/>
      <c r="C32" s="361"/>
      <c r="D32" s="362"/>
      <c r="E32" s="362"/>
      <c r="F32" s="362"/>
      <c r="G32" s="362"/>
      <c r="H32" s="362"/>
      <c r="I32" s="362"/>
      <c r="J32" s="362"/>
      <c r="K32" s="362"/>
      <c r="L32" s="362"/>
      <c r="M32" s="363"/>
    </row>
    <row r="33" spans="2:13" ht="50" customHeight="1">
      <c r="B33" s="356" t="s">
        <v>19</v>
      </c>
      <c r="C33" s="358" t="s">
        <v>42</v>
      </c>
      <c r="D33" s="359"/>
      <c r="E33" s="359"/>
      <c r="F33" s="359"/>
      <c r="G33" s="359"/>
      <c r="H33" s="359"/>
      <c r="I33" s="359"/>
      <c r="J33" s="359"/>
      <c r="K33" s="359"/>
      <c r="L33" s="359"/>
      <c r="M33" s="360"/>
    </row>
    <row r="34" spans="2:13" ht="50" customHeight="1" thickBot="1">
      <c r="B34" s="357"/>
      <c r="C34" s="361"/>
      <c r="D34" s="362"/>
      <c r="E34" s="362"/>
      <c r="F34" s="362"/>
      <c r="G34" s="362"/>
      <c r="H34" s="362"/>
      <c r="I34" s="362"/>
      <c r="J34" s="362"/>
      <c r="K34" s="362"/>
      <c r="L34" s="362"/>
      <c r="M34" s="363"/>
    </row>
    <row r="35" spans="2:13" ht="50" customHeight="1">
      <c r="B35" s="356" t="s">
        <v>23</v>
      </c>
      <c r="C35" s="358" t="s">
        <v>56</v>
      </c>
      <c r="D35" s="359"/>
      <c r="E35" s="359"/>
      <c r="F35" s="359"/>
      <c r="G35" s="359"/>
      <c r="H35" s="359"/>
      <c r="I35" s="359"/>
      <c r="J35" s="359"/>
      <c r="K35" s="359"/>
      <c r="L35" s="359"/>
      <c r="M35" s="360"/>
    </row>
    <row r="36" spans="2:13" ht="50" customHeight="1" thickBot="1">
      <c r="B36" s="357"/>
      <c r="C36" s="361"/>
      <c r="D36" s="362"/>
      <c r="E36" s="362"/>
      <c r="F36" s="362"/>
      <c r="G36" s="362"/>
      <c r="H36" s="362"/>
      <c r="I36" s="362"/>
      <c r="J36" s="362"/>
      <c r="K36" s="362"/>
      <c r="L36" s="362"/>
      <c r="M36" s="363"/>
    </row>
  </sheetData>
  <mergeCells count="176">
    <mergeCell ref="B33:B34"/>
    <mergeCell ref="C33:M34"/>
    <mergeCell ref="B35:B36"/>
    <mergeCell ref="C35:M36"/>
    <mergeCell ref="H17:H18"/>
    <mergeCell ref="I17:I18"/>
    <mergeCell ref="H19:H20"/>
    <mergeCell ref="I19:I20"/>
    <mergeCell ref="B26:B27"/>
    <mergeCell ref="C26:M27"/>
    <mergeCell ref="B28:B29"/>
    <mergeCell ref="C28:M29"/>
    <mergeCell ref="B30:B32"/>
    <mergeCell ref="C30:M32"/>
    <mergeCell ref="B21:B24"/>
    <mergeCell ref="C21:E24"/>
    <mergeCell ref="F21:G24"/>
    <mergeCell ref="H21:I24"/>
    <mergeCell ref="J21:J22"/>
    <mergeCell ref="K21:K22"/>
    <mergeCell ref="AC21:AF24"/>
    <mergeCell ref="J23:J24"/>
    <mergeCell ref="K23:K24"/>
    <mergeCell ref="L23:L24"/>
    <mergeCell ref="M23:M24"/>
    <mergeCell ref="N23:N24"/>
    <mergeCell ref="O23:O24"/>
    <mergeCell ref="P23:P24"/>
    <mergeCell ref="Q23:Q24"/>
    <mergeCell ref="R23:R24"/>
    <mergeCell ref="R21:R22"/>
    <mergeCell ref="S21:S22"/>
    <mergeCell ref="T21:T22"/>
    <mergeCell ref="U21:V24"/>
    <mergeCell ref="W21:X24"/>
    <mergeCell ref="Y21:Z24"/>
    <mergeCell ref="S23:S24"/>
    <mergeCell ref="T23:T24"/>
    <mergeCell ref="L21:L22"/>
    <mergeCell ref="M21:M22"/>
    <mergeCell ref="N21:N22"/>
    <mergeCell ref="O21:O22"/>
    <mergeCell ref="P21:P22"/>
    <mergeCell ref="Q21:Q22"/>
    <mergeCell ref="Y17:Z20"/>
    <mergeCell ref="AC17:AF20"/>
    <mergeCell ref="J19:J20"/>
    <mergeCell ref="K19:K20"/>
    <mergeCell ref="L19:L20"/>
    <mergeCell ref="M19:M20"/>
    <mergeCell ref="N19:N20"/>
    <mergeCell ref="O19:O20"/>
    <mergeCell ref="P19:P20"/>
    <mergeCell ref="Q19:Q20"/>
    <mergeCell ref="Q17:Q18"/>
    <mergeCell ref="R17:R18"/>
    <mergeCell ref="S17:S18"/>
    <mergeCell ref="T17:T18"/>
    <mergeCell ref="U17:V20"/>
    <mergeCell ref="W17:X20"/>
    <mergeCell ref="R19:R20"/>
    <mergeCell ref="S19:S20"/>
    <mergeCell ref="T19:T20"/>
    <mergeCell ref="K17:K18"/>
    <mergeCell ref="L17:L18"/>
    <mergeCell ref="M17:M18"/>
    <mergeCell ref="N17:N18"/>
    <mergeCell ref="O17:O18"/>
    <mergeCell ref="B17:B20"/>
    <mergeCell ref="C17:E20"/>
    <mergeCell ref="F17:G20"/>
    <mergeCell ref="J17:J18"/>
    <mergeCell ref="J15:J16"/>
    <mergeCell ref="K15:K16"/>
    <mergeCell ref="L15:L16"/>
    <mergeCell ref="M15:M16"/>
    <mergeCell ref="N15:N16"/>
    <mergeCell ref="U13:V16"/>
    <mergeCell ref="W13:X16"/>
    <mergeCell ref="K13:K14"/>
    <mergeCell ref="L13:L14"/>
    <mergeCell ref="M13:M14"/>
    <mergeCell ref="N13:N14"/>
    <mergeCell ref="O13:O14"/>
    <mergeCell ref="P13:P14"/>
    <mergeCell ref="P17:P18"/>
    <mergeCell ref="P15:P16"/>
    <mergeCell ref="Q15:Q16"/>
    <mergeCell ref="R15:R16"/>
    <mergeCell ref="S15:S16"/>
    <mergeCell ref="T15:T16"/>
    <mergeCell ref="O15:O16"/>
    <mergeCell ref="S11:S12"/>
    <mergeCell ref="T11:T12"/>
    <mergeCell ref="B13:B16"/>
    <mergeCell ref="C13:E16"/>
    <mergeCell ref="F13:G16"/>
    <mergeCell ref="H13:I16"/>
    <mergeCell ref="J13:J14"/>
    <mergeCell ref="J11:J12"/>
    <mergeCell ref="K11:K12"/>
    <mergeCell ref="L11:L12"/>
    <mergeCell ref="M11:M12"/>
    <mergeCell ref="N11:N12"/>
    <mergeCell ref="O11:O12"/>
    <mergeCell ref="Q13:Q14"/>
    <mergeCell ref="R13:R14"/>
    <mergeCell ref="S13:S14"/>
    <mergeCell ref="T13:T14"/>
    <mergeCell ref="K9:K10"/>
    <mergeCell ref="L9:L10"/>
    <mergeCell ref="M9:M10"/>
    <mergeCell ref="N9:N10"/>
    <mergeCell ref="O9:O10"/>
    <mergeCell ref="P9:P10"/>
    <mergeCell ref="P11:P12"/>
    <mergeCell ref="Q11:Q12"/>
    <mergeCell ref="R11:R12"/>
    <mergeCell ref="Y13:Z16"/>
    <mergeCell ref="AC13:AF16"/>
    <mergeCell ref="P7:P8"/>
    <mergeCell ref="Q7:Q8"/>
    <mergeCell ref="R7:R8"/>
    <mergeCell ref="S7:S8"/>
    <mergeCell ref="T7:T8"/>
    <mergeCell ref="B9:B12"/>
    <mergeCell ref="C9:E12"/>
    <mergeCell ref="F9:G12"/>
    <mergeCell ref="H9:I12"/>
    <mergeCell ref="J9:J10"/>
    <mergeCell ref="J7:J8"/>
    <mergeCell ref="K7:K8"/>
    <mergeCell ref="L7:L8"/>
    <mergeCell ref="M7:M8"/>
    <mergeCell ref="N7:N8"/>
    <mergeCell ref="O7:O8"/>
    <mergeCell ref="Q9:Q10"/>
    <mergeCell ref="R9:R10"/>
    <mergeCell ref="S9:S10"/>
    <mergeCell ref="T9:T10"/>
    <mergeCell ref="U9:V12"/>
    <mergeCell ref="W9:X12"/>
    <mergeCell ref="N5:N6"/>
    <mergeCell ref="O5:O6"/>
    <mergeCell ref="P5:P6"/>
    <mergeCell ref="Q5:Q6"/>
    <mergeCell ref="R5:R6"/>
    <mergeCell ref="S5:S6"/>
    <mergeCell ref="AC2:AF4"/>
    <mergeCell ref="A5:A24"/>
    <mergeCell ref="B5:B8"/>
    <mergeCell ref="C5:E8"/>
    <mergeCell ref="F5:G8"/>
    <mergeCell ref="H5:I8"/>
    <mergeCell ref="J5:J6"/>
    <mergeCell ref="K5:K6"/>
    <mergeCell ref="L5:L6"/>
    <mergeCell ref="M5:M6"/>
    <mergeCell ref="T5:T6"/>
    <mergeCell ref="U5:V8"/>
    <mergeCell ref="W5:X8"/>
    <mergeCell ref="Y5:Z8"/>
    <mergeCell ref="AA5:AB24"/>
    <mergeCell ref="AC5:AF8"/>
    <mergeCell ref="Y9:Z12"/>
    <mergeCell ref="AC9:AF12"/>
    <mergeCell ref="H1:K1"/>
    <mergeCell ref="W1:AB1"/>
    <mergeCell ref="C2:E4"/>
    <mergeCell ref="F2:G4"/>
    <mergeCell ref="H2:I4"/>
    <mergeCell ref="J2:T4"/>
    <mergeCell ref="U2:V4"/>
    <mergeCell ref="W2:X4"/>
    <mergeCell ref="Y2:Z4"/>
    <mergeCell ref="AA2:AB4"/>
  </mergeCells>
  <phoneticPr fontId="10"/>
  <conditionalFormatting sqref="W5:W6">
    <cfRule type="cellIs" dxfId="4" priority="1" stopIfTrue="1" operator="equal">
      <formula>0</formula>
    </cfRule>
  </conditionalFormatting>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55240-CF53-4FB2-8C76-5BD7D8A4B558}">
  <dimension ref="A1:AS36"/>
  <sheetViews>
    <sheetView tabSelected="1" zoomScale="40" zoomScaleNormal="40" workbookViewId="0">
      <selection activeCell="R25" sqref="R25"/>
    </sheetView>
  </sheetViews>
  <sheetFormatPr defaultColWidth="9" defaultRowHeight="38.549999999999997" customHeight="1"/>
  <cols>
    <col min="32" max="32" width="33.46484375" customWidth="1"/>
  </cols>
  <sheetData>
    <row r="1" spans="1:45" ht="38.549999999999997" customHeight="1" thickBot="1"/>
    <row r="2" spans="1:45" s="1" customFormat="1" ht="38.549999999999997" customHeight="1">
      <c r="C2" s="115" t="s">
        <v>0</v>
      </c>
      <c r="D2" s="116"/>
      <c r="E2" s="117"/>
      <c r="F2" s="124" t="s">
        <v>1</v>
      </c>
      <c r="G2" s="125"/>
      <c r="H2" s="128" t="s">
        <v>2</v>
      </c>
      <c r="I2" s="124"/>
      <c r="J2" s="133" t="s">
        <v>3</v>
      </c>
      <c r="K2" s="134"/>
      <c r="L2" s="134"/>
      <c r="M2" s="134"/>
      <c r="N2" s="134"/>
      <c r="O2" s="134"/>
      <c r="P2" s="134"/>
      <c r="Q2" s="134"/>
      <c r="R2" s="134"/>
      <c r="S2" s="134"/>
      <c r="T2" s="135"/>
      <c r="U2" s="148" t="s">
        <v>4</v>
      </c>
      <c r="V2" s="149"/>
      <c r="W2" s="152" t="s">
        <v>5</v>
      </c>
      <c r="X2" s="152"/>
      <c r="Y2" s="155" t="s">
        <v>6</v>
      </c>
      <c r="Z2" s="155"/>
      <c r="AA2" s="155" t="s">
        <v>7</v>
      </c>
      <c r="AB2" s="158"/>
      <c r="AC2" s="142" t="s">
        <v>8</v>
      </c>
      <c r="AD2" s="124"/>
      <c r="AE2" s="124"/>
      <c r="AF2" s="143"/>
    </row>
    <row r="3" spans="1:45" s="1" customFormat="1" ht="38.549999999999997" customHeight="1">
      <c r="C3" s="118"/>
      <c r="D3" s="119"/>
      <c r="E3" s="120"/>
      <c r="F3" s="119"/>
      <c r="G3" s="126"/>
      <c r="H3" s="129"/>
      <c r="I3" s="130"/>
      <c r="J3" s="136"/>
      <c r="K3" s="137"/>
      <c r="L3" s="137"/>
      <c r="M3" s="137"/>
      <c r="N3" s="137"/>
      <c r="O3" s="137"/>
      <c r="P3" s="137"/>
      <c r="Q3" s="137"/>
      <c r="R3" s="137"/>
      <c r="S3" s="137"/>
      <c r="T3" s="138"/>
      <c r="U3" s="150"/>
      <c r="V3" s="150"/>
      <c r="W3" s="153"/>
      <c r="X3" s="153"/>
      <c r="Y3" s="156"/>
      <c r="Z3" s="156"/>
      <c r="AA3" s="159"/>
      <c r="AB3" s="159"/>
      <c r="AC3" s="144"/>
      <c r="AD3" s="130"/>
      <c r="AE3" s="130"/>
      <c r="AF3" s="145"/>
    </row>
    <row r="4" spans="1:45" s="1" customFormat="1" ht="38.549999999999997" customHeight="1" thickBot="1">
      <c r="A4" s="3"/>
      <c r="B4" s="3"/>
      <c r="C4" s="121"/>
      <c r="D4" s="122"/>
      <c r="E4" s="123"/>
      <c r="F4" s="122"/>
      <c r="G4" s="127"/>
      <c r="H4" s="131"/>
      <c r="I4" s="132"/>
      <c r="J4" s="139"/>
      <c r="K4" s="140"/>
      <c r="L4" s="140"/>
      <c r="M4" s="140"/>
      <c r="N4" s="140"/>
      <c r="O4" s="140"/>
      <c r="P4" s="140"/>
      <c r="Q4" s="140"/>
      <c r="R4" s="140"/>
      <c r="S4" s="140"/>
      <c r="T4" s="141"/>
      <c r="U4" s="151"/>
      <c r="V4" s="151"/>
      <c r="W4" s="154"/>
      <c r="X4" s="154"/>
      <c r="Y4" s="157"/>
      <c r="Z4" s="157"/>
      <c r="AA4" s="160"/>
      <c r="AB4" s="160"/>
      <c r="AC4" s="146"/>
      <c r="AD4" s="132"/>
      <c r="AE4" s="132"/>
      <c r="AF4" s="147"/>
    </row>
    <row r="5" spans="1:45" s="2" customFormat="1" ht="38.549999999999997" customHeight="1">
      <c r="A5" s="161" t="s">
        <v>9</v>
      </c>
      <c r="B5" s="74" t="s">
        <v>10</v>
      </c>
      <c r="C5" s="98" t="s">
        <v>46</v>
      </c>
      <c r="D5" s="99"/>
      <c r="E5" s="100"/>
      <c r="F5" s="107" t="s">
        <v>47</v>
      </c>
      <c r="G5" s="108"/>
      <c r="H5" s="109"/>
      <c r="I5" s="110"/>
      <c r="J5" s="27">
        <v>0</v>
      </c>
      <c r="K5" s="25">
        <v>10</v>
      </c>
      <c r="L5" s="25">
        <v>20</v>
      </c>
      <c r="M5" s="25">
        <v>30</v>
      </c>
      <c r="N5" s="25">
        <v>40</v>
      </c>
      <c r="O5" s="25">
        <v>50</v>
      </c>
      <c r="P5" s="31">
        <v>60</v>
      </c>
      <c r="Q5" s="25">
        <v>70</v>
      </c>
      <c r="R5" s="25">
        <v>80</v>
      </c>
      <c r="S5" s="25">
        <v>90</v>
      </c>
      <c r="T5" s="25">
        <v>100</v>
      </c>
      <c r="U5" s="46"/>
      <c r="V5" s="47"/>
      <c r="W5" s="52">
        <v>0.1</v>
      </c>
      <c r="X5" s="53"/>
      <c r="Y5" s="56">
        <f>U5*W5</f>
        <v>0</v>
      </c>
      <c r="Z5" s="57"/>
      <c r="AA5" s="164">
        <f>SUM(Y5:Z24)</f>
        <v>0</v>
      </c>
      <c r="AB5" s="165"/>
      <c r="AC5" s="64"/>
      <c r="AD5" s="65"/>
      <c r="AE5" s="65"/>
      <c r="AF5" s="66"/>
    </row>
    <row r="6" spans="1:45" s="2" customFormat="1" ht="38.549999999999997" customHeight="1">
      <c r="A6" s="162"/>
      <c r="B6" s="75"/>
      <c r="C6" s="101"/>
      <c r="D6" s="102"/>
      <c r="E6" s="103"/>
      <c r="F6" s="45"/>
      <c r="G6" s="45"/>
      <c r="H6" s="111"/>
      <c r="I6" s="112"/>
      <c r="J6" s="28"/>
      <c r="K6" s="26"/>
      <c r="L6" s="26"/>
      <c r="M6" s="26"/>
      <c r="N6" s="26"/>
      <c r="O6" s="26"/>
      <c r="P6" s="26"/>
      <c r="Q6" s="26"/>
      <c r="R6" s="26"/>
      <c r="S6" s="26"/>
      <c r="T6" s="26"/>
      <c r="U6" s="48"/>
      <c r="V6" s="49"/>
      <c r="W6" s="54"/>
      <c r="X6" s="55"/>
      <c r="Y6" s="58"/>
      <c r="Z6" s="59"/>
      <c r="AA6" s="166"/>
      <c r="AB6" s="167"/>
      <c r="AC6" s="67"/>
      <c r="AD6" s="68"/>
      <c r="AE6" s="68"/>
      <c r="AF6" s="69"/>
    </row>
    <row r="7" spans="1:45" s="2" customFormat="1" ht="38.549999999999997" customHeight="1">
      <c r="A7" s="162"/>
      <c r="B7" s="75"/>
      <c r="C7" s="101"/>
      <c r="D7" s="102"/>
      <c r="E7" s="103"/>
      <c r="F7" s="45"/>
      <c r="G7" s="45"/>
      <c r="H7" s="111"/>
      <c r="I7" s="112"/>
      <c r="J7" s="62" t="s">
        <v>11</v>
      </c>
      <c r="K7" s="62">
        <v>75</v>
      </c>
      <c r="L7" s="62">
        <v>80</v>
      </c>
      <c r="M7" s="62">
        <v>85</v>
      </c>
      <c r="N7" s="62">
        <v>90</v>
      </c>
      <c r="O7" s="62">
        <v>95</v>
      </c>
      <c r="P7" s="86">
        <v>1</v>
      </c>
      <c r="Q7" s="62">
        <v>105</v>
      </c>
      <c r="R7" s="62">
        <v>110</v>
      </c>
      <c r="S7" s="62">
        <v>115</v>
      </c>
      <c r="T7" s="62" t="s">
        <v>12</v>
      </c>
      <c r="U7" s="48"/>
      <c r="V7" s="49"/>
      <c r="W7" s="54"/>
      <c r="X7" s="55"/>
      <c r="Y7" s="58"/>
      <c r="Z7" s="59"/>
      <c r="AA7" s="166"/>
      <c r="AB7" s="167"/>
      <c r="AC7" s="67"/>
      <c r="AD7" s="68"/>
      <c r="AE7" s="68"/>
      <c r="AF7" s="69"/>
    </row>
    <row r="8" spans="1:45" s="2" customFormat="1" ht="38.549999999999997" customHeight="1" thickBot="1">
      <c r="A8" s="162"/>
      <c r="B8" s="76"/>
      <c r="C8" s="104"/>
      <c r="D8" s="105"/>
      <c r="E8" s="106"/>
      <c r="F8" s="45"/>
      <c r="G8" s="45"/>
      <c r="H8" s="113"/>
      <c r="I8" s="114"/>
      <c r="J8" s="26"/>
      <c r="K8" s="26"/>
      <c r="L8" s="26"/>
      <c r="M8" s="26"/>
      <c r="N8" s="26"/>
      <c r="O8" s="26"/>
      <c r="P8" s="26"/>
      <c r="Q8" s="26"/>
      <c r="R8" s="26"/>
      <c r="S8" s="26"/>
      <c r="T8" s="26"/>
      <c r="U8" s="50"/>
      <c r="V8" s="51"/>
      <c r="W8" s="28"/>
      <c r="X8" s="30"/>
      <c r="Y8" s="60"/>
      <c r="Z8" s="61"/>
      <c r="AA8" s="166"/>
      <c r="AB8" s="167"/>
      <c r="AC8" s="67"/>
      <c r="AD8" s="68"/>
      <c r="AE8" s="68"/>
      <c r="AF8" s="69"/>
    </row>
    <row r="9" spans="1:45" s="2" customFormat="1" ht="38.549999999999997" customHeight="1">
      <c r="A9" s="162"/>
      <c r="B9" s="74" t="s">
        <v>13</v>
      </c>
      <c r="C9" s="35" t="s">
        <v>21</v>
      </c>
      <c r="D9" s="36"/>
      <c r="E9" s="37"/>
      <c r="F9" s="87" t="s">
        <v>48</v>
      </c>
      <c r="G9" s="88"/>
      <c r="H9" s="78"/>
      <c r="I9" s="89"/>
      <c r="J9" s="27">
        <v>0</v>
      </c>
      <c r="K9" s="25">
        <v>10</v>
      </c>
      <c r="L9" s="25">
        <v>20</v>
      </c>
      <c r="M9" s="27">
        <v>30</v>
      </c>
      <c r="N9" s="25">
        <v>40</v>
      </c>
      <c r="O9" s="29">
        <v>50</v>
      </c>
      <c r="P9" s="31">
        <v>60</v>
      </c>
      <c r="Q9" s="25">
        <v>70</v>
      </c>
      <c r="R9" s="25">
        <v>80</v>
      </c>
      <c r="S9" s="25">
        <v>90</v>
      </c>
      <c r="T9" s="25">
        <v>100</v>
      </c>
      <c r="U9" s="46"/>
      <c r="V9" s="47"/>
      <c r="W9" s="52">
        <v>0.35</v>
      </c>
      <c r="X9" s="53"/>
      <c r="Y9" s="94">
        <f>U9*W9</f>
        <v>0</v>
      </c>
      <c r="Z9" s="57"/>
      <c r="AA9" s="166"/>
      <c r="AB9" s="167"/>
      <c r="AC9" s="64"/>
      <c r="AD9" s="65"/>
      <c r="AE9" s="65"/>
      <c r="AF9" s="66"/>
    </row>
    <row r="10" spans="1:45" s="2" customFormat="1" ht="38.549999999999997" customHeight="1">
      <c r="A10" s="162"/>
      <c r="B10" s="75"/>
      <c r="C10" s="38"/>
      <c r="D10" s="39"/>
      <c r="E10" s="40"/>
      <c r="F10" s="88"/>
      <c r="G10" s="88"/>
      <c r="H10" s="80"/>
      <c r="I10" s="90"/>
      <c r="J10" s="28"/>
      <c r="K10" s="26"/>
      <c r="L10" s="26"/>
      <c r="M10" s="28"/>
      <c r="N10" s="26"/>
      <c r="O10" s="30"/>
      <c r="P10" s="26"/>
      <c r="Q10" s="26"/>
      <c r="R10" s="26"/>
      <c r="S10" s="26"/>
      <c r="T10" s="26"/>
      <c r="U10" s="48"/>
      <c r="V10" s="49"/>
      <c r="W10" s="54"/>
      <c r="X10" s="55"/>
      <c r="Y10" s="95"/>
      <c r="Z10" s="59"/>
      <c r="AA10" s="166"/>
      <c r="AB10" s="167"/>
      <c r="AC10" s="67"/>
      <c r="AD10" s="68"/>
      <c r="AE10" s="68"/>
      <c r="AF10" s="69"/>
    </row>
    <row r="11" spans="1:45" s="2" customFormat="1" ht="38.549999999999997" customHeight="1">
      <c r="A11" s="162"/>
      <c r="B11" s="75"/>
      <c r="C11" s="38"/>
      <c r="D11" s="39"/>
      <c r="E11" s="40"/>
      <c r="F11" s="88"/>
      <c r="G11" s="88"/>
      <c r="H11" s="80"/>
      <c r="I11" s="90"/>
      <c r="J11" s="62" t="s">
        <v>24</v>
      </c>
      <c r="K11" s="62">
        <v>50</v>
      </c>
      <c r="L11" s="62">
        <v>60</v>
      </c>
      <c r="M11" s="62">
        <v>70</v>
      </c>
      <c r="N11" s="62">
        <v>80</v>
      </c>
      <c r="O11" s="62">
        <v>90</v>
      </c>
      <c r="P11" s="86">
        <v>1</v>
      </c>
      <c r="Q11" s="62">
        <v>150</v>
      </c>
      <c r="R11" s="62">
        <v>200</v>
      </c>
      <c r="S11" s="62">
        <v>250</v>
      </c>
      <c r="T11" s="62" t="s">
        <v>25</v>
      </c>
      <c r="U11" s="92"/>
      <c r="V11" s="49"/>
      <c r="W11" s="54"/>
      <c r="X11" s="55"/>
      <c r="Y11" s="95"/>
      <c r="Z11" s="59"/>
      <c r="AA11" s="166"/>
      <c r="AB11" s="167"/>
      <c r="AC11" s="67"/>
      <c r="AD11" s="68"/>
      <c r="AE11" s="68"/>
      <c r="AF11" s="69"/>
    </row>
    <row r="12" spans="1:45" s="2" customFormat="1" ht="38.549999999999997" customHeight="1" thickBot="1">
      <c r="A12" s="162"/>
      <c r="B12" s="76"/>
      <c r="C12" s="41"/>
      <c r="D12" s="42"/>
      <c r="E12" s="43"/>
      <c r="F12" s="88"/>
      <c r="G12" s="88"/>
      <c r="H12" s="82"/>
      <c r="I12" s="91"/>
      <c r="J12" s="26"/>
      <c r="K12" s="26"/>
      <c r="L12" s="26"/>
      <c r="M12" s="26"/>
      <c r="N12" s="97"/>
      <c r="O12" s="26"/>
      <c r="P12" s="26"/>
      <c r="Q12" s="26"/>
      <c r="R12" s="26"/>
      <c r="S12" s="26"/>
      <c r="T12" s="26"/>
      <c r="U12" s="93"/>
      <c r="V12" s="51"/>
      <c r="W12" s="28"/>
      <c r="X12" s="30"/>
      <c r="Y12" s="96"/>
      <c r="Z12" s="61"/>
      <c r="AA12" s="166"/>
      <c r="AB12" s="167"/>
      <c r="AC12" s="67"/>
      <c r="AD12" s="68"/>
      <c r="AE12" s="68"/>
      <c r="AF12" s="69"/>
      <c r="AK12" s="4"/>
      <c r="AL12" s="4"/>
      <c r="AM12" s="4"/>
      <c r="AN12" s="4"/>
      <c r="AO12" s="4"/>
      <c r="AP12" s="4"/>
      <c r="AQ12" s="4"/>
      <c r="AR12" s="4"/>
      <c r="AS12" s="4"/>
    </row>
    <row r="13" spans="1:45" s="2" customFormat="1" ht="38.549999999999997" customHeight="1">
      <c r="A13" s="162"/>
      <c r="B13" s="74" t="s">
        <v>14</v>
      </c>
      <c r="C13" s="35" t="s">
        <v>49</v>
      </c>
      <c r="D13" s="36"/>
      <c r="E13" s="37"/>
      <c r="F13" s="44" t="s">
        <v>50</v>
      </c>
      <c r="G13" s="77"/>
      <c r="H13" s="78"/>
      <c r="I13" s="79"/>
      <c r="J13" s="27">
        <v>0</v>
      </c>
      <c r="K13" s="25">
        <v>10</v>
      </c>
      <c r="L13" s="25">
        <v>20</v>
      </c>
      <c r="M13" s="25">
        <v>30</v>
      </c>
      <c r="N13" s="73">
        <v>40</v>
      </c>
      <c r="O13" s="25">
        <v>50</v>
      </c>
      <c r="P13" s="31">
        <v>60</v>
      </c>
      <c r="Q13" s="25">
        <v>70</v>
      </c>
      <c r="R13" s="25">
        <v>80</v>
      </c>
      <c r="S13" s="25">
        <v>90</v>
      </c>
      <c r="T13" s="25">
        <v>100</v>
      </c>
      <c r="U13" s="46"/>
      <c r="V13" s="47"/>
      <c r="W13" s="52">
        <v>0.25</v>
      </c>
      <c r="X13" s="53"/>
      <c r="Y13" s="56">
        <f>U13*W13</f>
        <v>0</v>
      </c>
      <c r="Z13" s="57"/>
      <c r="AA13" s="166"/>
      <c r="AB13" s="167"/>
      <c r="AC13" s="64"/>
      <c r="AD13" s="65"/>
      <c r="AE13" s="65"/>
      <c r="AF13" s="66"/>
      <c r="AJ13" s="4"/>
      <c r="AK13" s="4"/>
      <c r="AL13" s="4"/>
      <c r="AM13" s="4"/>
      <c r="AN13" s="4"/>
      <c r="AO13" s="4"/>
      <c r="AP13" s="4"/>
      <c r="AQ13" s="4"/>
      <c r="AR13" s="4"/>
      <c r="AS13" s="4"/>
    </row>
    <row r="14" spans="1:45" s="2" customFormat="1" ht="38.549999999999997" customHeight="1">
      <c r="A14" s="162"/>
      <c r="B14" s="75"/>
      <c r="C14" s="38"/>
      <c r="D14" s="39"/>
      <c r="E14" s="40"/>
      <c r="F14" s="77"/>
      <c r="G14" s="77"/>
      <c r="H14" s="80"/>
      <c r="I14" s="81"/>
      <c r="J14" s="28"/>
      <c r="K14" s="26"/>
      <c r="L14" s="26"/>
      <c r="M14" s="26"/>
      <c r="N14" s="26"/>
      <c r="O14" s="26"/>
      <c r="P14" s="26"/>
      <c r="Q14" s="26"/>
      <c r="R14" s="26"/>
      <c r="S14" s="26"/>
      <c r="T14" s="26"/>
      <c r="U14" s="48"/>
      <c r="V14" s="49"/>
      <c r="W14" s="54"/>
      <c r="X14" s="55"/>
      <c r="Y14" s="58"/>
      <c r="Z14" s="59"/>
      <c r="AA14" s="166"/>
      <c r="AB14" s="167"/>
      <c r="AC14" s="67"/>
      <c r="AD14" s="68"/>
      <c r="AE14" s="68"/>
      <c r="AF14" s="69"/>
    </row>
    <row r="15" spans="1:45" s="2" customFormat="1" ht="38.549999999999997" customHeight="1">
      <c r="A15" s="162"/>
      <c r="B15" s="75"/>
      <c r="C15" s="38"/>
      <c r="D15" s="39"/>
      <c r="E15" s="40"/>
      <c r="F15" s="77"/>
      <c r="G15" s="77"/>
      <c r="H15" s="80"/>
      <c r="I15" s="81"/>
      <c r="J15" s="63">
        <v>0</v>
      </c>
      <c r="K15" s="62">
        <v>10</v>
      </c>
      <c r="L15" s="62">
        <v>20</v>
      </c>
      <c r="M15" s="62">
        <v>30</v>
      </c>
      <c r="N15" s="62">
        <v>40</v>
      </c>
      <c r="O15" s="62">
        <v>50</v>
      </c>
      <c r="P15" s="84">
        <v>0.6</v>
      </c>
      <c r="Q15" s="62">
        <v>70</v>
      </c>
      <c r="R15" s="62">
        <v>80</v>
      </c>
      <c r="S15" s="62">
        <v>90</v>
      </c>
      <c r="T15" s="63">
        <v>1</v>
      </c>
      <c r="U15" s="48"/>
      <c r="V15" s="49"/>
      <c r="W15" s="54"/>
      <c r="X15" s="55"/>
      <c r="Y15" s="58"/>
      <c r="Z15" s="59"/>
      <c r="AA15" s="166"/>
      <c r="AB15" s="167"/>
      <c r="AC15" s="67"/>
      <c r="AD15" s="68"/>
      <c r="AE15" s="68"/>
      <c r="AF15" s="69"/>
    </row>
    <row r="16" spans="1:45" s="2" customFormat="1" ht="38.549999999999997" customHeight="1" thickBot="1">
      <c r="A16" s="162"/>
      <c r="B16" s="76"/>
      <c r="C16" s="41"/>
      <c r="D16" s="42"/>
      <c r="E16" s="43"/>
      <c r="F16" s="77"/>
      <c r="G16" s="77"/>
      <c r="H16" s="82"/>
      <c r="I16" s="83"/>
      <c r="J16" s="26"/>
      <c r="K16" s="26"/>
      <c r="L16" s="26"/>
      <c r="M16" s="26"/>
      <c r="N16" s="26"/>
      <c r="O16" s="26"/>
      <c r="P16" s="85"/>
      <c r="Q16" s="26"/>
      <c r="R16" s="26"/>
      <c r="S16" s="26"/>
      <c r="T16" s="26"/>
      <c r="U16" s="50"/>
      <c r="V16" s="51"/>
      <c r="W16" s="28"/>
      <c r="X16" s="30"/>
      <c r="Y16" s="60"/>
      <c r="Z16" s="61"/>
      <c r="AA16" s="166"/>
      <c r="AB16" s="167"/>
      <c r="AC16" s="67"/>
      <c r="AD16" s="68"/>
      <c r="AE16" s="68"/>
      <c r="AF16" s="69"/>
    </row>
    <row r="17" spans="1:45" s="2" customFormat="1" ht="38.549999999999997" customHeight="1">
      <c r="A17" s="162"/>
      <c r="B17" s="32" t="s">
        <v>15</v>
      </c>
      <c r="C17" s="35" t="s">
        <v>22</v>
      </c>
      <c r="D17" s="36"/>
      <c r="E17" s="37"/>
      <c r="F17" s="44" t="s">
        <v>51</v>
      </c>
      <c r="G17" s="45"/>
      <c r="H17" s="180" t="s">
        <v>40</v>
      </c>
      <c r="I17" s="182"/>
      <c r="J17" s="27">
        <v>0</v>
      </c>
      <c r="K17" s="25">
        <v>10</v>
      </c>
      <c r="L17" s="25">
        <v>20</v>
      </c>
      <c r="M17" s="27">
        <v>30</v>
      </c>
      <c r="N17" s="25">
        <v>40</v>
      </c>
      <c r="O17" s="29">
        <v>50</v>
      </c>
      <c r="P17" s="31">
        <v>60</v>
      </c>
      <c r="Q17" s="25">
        <v>70</v>
      </c>
      <c r="R17" s="25">
        <v>80</v>
      </c>
      <c r="S17" s="25">
        <v>90</v>
      </c>
      <c r="T17" s="25">
        <v>100</v>
      </c>
      <c r="U17" s="46"/>
      <c r="V17" s="47"/>
      <c r="W17" s="52">
        <v>0.15</v>
      </c>
      <c r="X17" s="53"/>
      <c r="Y17" s="56">
        <f>U17*W17</f>
        <v>0</v>
      </c>
      <c r="Z17" s="57"/>
      <c r="AA17" s="166"/>
      <c r="AB17" s="167"/>
      <c r="AC17" s="64"/>
      <c r="AD17" s="65"/>
      <c r="AE17" s="65"/>
      <c r="AF17" s="66"/>
      <c r="AJ17" s="4"/>
      <c r="AK17" s="4"/>
      <c r="AL17" s="4"/>
      <c r="AM17" s="4"/>
      <c r="AN17" s="4"/>
      <c r="AO17" s="4"/>
      <c r="AP17" s="4"/>
      <c r="AQ17" s="4"/>
      <c r="AR17" s="4"/>
      <c r="AS17" s="4"/>
    </row>
    <row r="18" spans="1:45" s="2" customFormat="1" ht="38.549999999999997" customHeight="1">
      <c r="A18" s="162"/>
      <c r="B18" s="33"/>
      <c r="C18" s="38"/>
      <c r="D18" s="39"/>
      <c r="E18" s="40"/>
      <c r="F18" s="45"/>
      <c r="G18" s="45"/>
      <c r="H18" s="181"/>
      <c r="I18" s="183"/>
      <c r="J18" s="28"/>
      <c r="K18" s="26"/>
      <c r="L18" s="26"/>
      <c r="M18" s="28"/>
      <c r="N18" s="26"/>
      <c r="O18" s="30"/>
      <c r="P18" s="26"/>
      <c r="Q18" s="26"/>
      <c r="R18" s="26"/>
      <c r="S18" s="26"/>
      <c r="T18" s="26"/>
      <c r="U18" s="48"/>
      <c r="V18" s="49"/>
      <c r="W18" s="54"/>
      <c r="X18" s="55"/>
      <c r="Y18" s="58"/>
      <c r="Z18" s="59"/>
      <c r="AA18" s="166"/>
      <c r="AB18" s="167"/>
      <c r="AC18" s="67"/>
      <c r="AD18" s="68"/>
      <c r="AE18" s="68"/>
      <c r="AF18" s="69"/>
    </row>
    <row r="19" spans="1:45" s="2" customFormat="1" ht="38.549999999999997" customHeight="1">
      <c r="A19" s="162"/>
      <c r="B19" s="33"/>
      <c r="C19" s="38"/>
      <c r="D19" s="39"/>
      <c r="E19" s="40"/>
      <c r="F19" s="45"/>
      <c r="G19" s="45"/>
      <c r="H19" s="181" t="s">
        <v>41</v>
      </c>
      <c r="I19" s="185"/>
      <c r="J19" s="7">
        <v>0</v>
      </c>
      <c r="K19" s="8">
        <v>2</v>
      </c>
      <c r="L19" s="8">
        <v>4</v>
      </c>
      <c r="M19" s="8">
        <v>8</v>
      </c>
      <c r="N19" s="8">
        <v>12</v>
      </c>
      <c r="O19" s="8">
        <v>16</v>
      </c>
      <c r="P19" s="9">
        <v>40</v>
      </c>
      <c r="Q19" s="8">
        <v>50</v>
      </c>
      <c r="R19" s="8">
        <v>60</v>
      </c>
      <c r="S19" s="8">
        <v>70</v>
      </c>
      <c r="T19" s="8" t="s">
        <v>26</v>
      </c>
      <c r="U19" s="48"/>
      <c r="V19" s="49"/>
      <c r="W19" s="54"/>
      <c r="X19" s="55"/>
      <c r="Y19" s="58"/>
      <c r="Z19" s="59"/>
      <c r="AA19" s="166"/>
      <c r="AB19" s="167"/>
      <c r="AC19" s="67"/>
      <c r="AD19" s="68"/>
      <c r="AE19" s="68"/>
      <c r="AF19" s="69"/>
    </row>
    <row r="20" spans="1:45" s="2" customFormat="1" ht="38.549999999999997" customHeight="1" thickBot="1">
      <c r="A20" s="162"/>
      <c r="B20" s="34"/>
      <c r="C20" s="41"/>
      <c r="D20" s="42"/>
      <c r="E20" s="43"/>
      <c r="F20" s="45"/>
      <c r="G20" s="45"/>
      <c r="H20" s="184"/>
      <c r="I20" s="186"/>
      <c r="J20" s="10" t="s">
        <v>27</v>
      </c>
      <c r="K20" s="11" t="s">
        <v>28</v>
      </c>
      <c r="L20" s="11" t="s">
        <v>29</v>
      </c>
      <c r="M20" s="11" t="s">
        <v>30</v>
      </c>
      <c r="N20" s="11" t="s">
        <v>31</v>
      </c>
      <c r="O20" s="11" t="s">
        <v>32</v>
      </c>
      <c r="P20" s="12" t="s">
        <v>33</v>
      </c>
      <c r="Q20" s="11" t="s">
        <v>34</v>
      </c>
      <c r="R20" s="11" t="s">
        <v>35</v>
      </c>
      <c r="S20" s="11" t="s">
        <v>36</v>
      </c>
      <c r="T20" s="11" t="s">
        <v>37</v>
      </c>
      <c r="U20" s="50"/>
      <c r="V20" s="51"/>
      <c r="W20" s="28"/>
      <c r="X20" s="30"/>
      <c r="Y20" s="60"/>
      <c r="Z20" s="61"/>
      <c r="AA20" s="166"/>
      <c r="AB20" s="167"/>
      <c r="AC20" s="70"/>
      <c r="AD20" s="71"/>
      <c r="AE20" s="71"/>
      <c r="AF20" s="72"/>
    </row>
    <row r="21" spans="1:45" ht="38.549999999999997" customHeight="1">
      <c r="A21" s="162"/>
      <c r="B21" s="32" t="s">
        <v>23</v>
      </c>
      <c r="C21" s="35" t="s">
        <v>52</v>
      </c>
      <c r="D21" s="36"/>
      <c r="E21" s="37"/>
      <c r="F21" s="170" t="s">
        <v>53</v>
      </c>
      <c r="G21" s="171"/>
      <c r="H21" s="172"/>
      <c r="I21" s="173"/>
      <c r="J21" s="27">
        <v>0</v>
      </c>
      <c r="K21" s="25">
        <v>10</v>
      </c>
      <c r="L21" s="25">
        <v>20</v>
      </c>
      <c r="M21" s="25">
        <v>30</v>
      </c>
      <c r="N21" s="25">
        <v>40</v>
      </c>
      <c r="O21" s="25">
        <v>50</v>
      </c>
      <c r="P21" s="31">
        <v>60</v>
      </c>
      <c r="Q21" s="25">
        <v>70</v>
      </c>
      <c r="R21" s="25">
        <v>80</v>
      </c>
      <c r="S21" s="25">
        <v>90</v>
      </c>
      <c r="T21" s="25">
        <v>100</v>
      </c>
      <c r="U21" s="178"/>
      <c r="V21" s="179"/>
      <c r="W21" s="52">
        <v>0.15</v>
      </c>
      <c r="X21" s="53"/>
      <c r="Y21" s="56">
        <f>U21*W21</f>
        <v>0</v>
      </c>
      <c r="Z21" s="57"/>
      <c r="AA21" s="166"/>
      <c r="AB21" s="167"/>
      <c r="AC21" s="64"/>
      <c r="AD21" s="65"/>
      <c r="AE21" s="65"/>
      <c r="AF21" s="66"/>
    </row>
    <row r="22" spans="1:45" ht="38.549999999999997" customHeight="1">
      <c r="A22" s="162"/>
      <c r="B22" s="33"/>
      <c r="C22" s="38"/>
      <c r="D22" s="39"/>
      <c r="E22" s="40"/>
      <c r="F22" s="171"/>
      <c r="G22" s="171"/>
      <c r="H22" s="174"/>
      <c r="I22" s="175"/>
      <c r="J22" s="28"/>
      <c r="K22" s="26"/>
      <c r="L22" s="26"/>
      <c r="M22" s="26"/>
      <c r="N22" s="26"/>
      <c r="O22" s="26"/>
      <c r="P22" s="26"/>
      <c r="Q22" s="26"/>
      <c r="R22" s="26"/>
      <c r="S22" s="26"/>
      <c r="T22" s="26"/>
      <c r="U22" s="48"/>
      <c r="V22" s="49"/>
      <c r="W22" s="54"/>
      <c r="X22" s="55"/>
      <c r="Y22" s="58"/>
      <c r="Z22" s="59"/>
      <c r="AA22" s="166"/>
      <c r="AB22" s="167"/>
      <c r="AC22" s="67"/>
      <c r="AD22" s="68"/>
      <c r="AE22" s="68"/>
      <c r="AF22" s="69"/>
    </row>
    <row r="23" spans="1:45" ht="38.549999999999997" customHeight="1">
      <c r="A23" s="162"/>
      <c r="B23" s="33"/>
      <c r="C23" s="38"/>
      <c r="D23" s="39"/>
      <c r="E23" s="40"/>
      <c r="F23" s="171"/>
      <c r="G23" s="171"/>
      <c r="H23" s="174"/>
      <c r="I23" s="175"/>
      <c r="J23" s="62" t="s">
        <v>38</v>
      </c>
      <c r="K23" s="62">
        <v>10</v>
      </c>
      <c r="L23" s="62">
        <v>15</v>
      </c>
      <c r="M23" s="62">
        <v>20</v>
      </c>
      <c r="N23" s="62">
        <v>25</v>
      </c>
      <c r="O23" s="62">
        <v>30</v>
      </c>
      <c r="P23" s="205">
        <v>40</v>
      </c>
      <c r="Q23" s="62">
        <v>45</v>
      </c>
      <c r="R23" s="62">
        <v>50</v>
      </c>
      <c r="S23" s="62">
        <v>55</v>
      </c>
      <c r="T23" s="62" t="s">
        <v>39</v>
      </c>
      <c r="U23" s="48"/>
      <c r="V23" s="49"/>
      <c r="W23" s="54"/>
      <c r="X23" s="55"/>
      <c r="Y23" s="58"/>
      <c r="Z23" s="59"/>
      <c r="AA23" s="166"/>
      <c r="AB23" s="167"/>
      <c r="AC23" s="67"/>
      <c r="AD23" s="68"/>
      <c r="AE23" s="68"/>
      <c r="AF23" s="69"/>
    </row>
    <row r="24" spans="1:45" ht="38.549999999999997" customHeight="1" thickBot="1">
      <c r="A24" s="163"/>
      <c r="B24" s="34"/>
      <c r="C24" s="41"/>
      <c r="D24" s="42"/>
      <c r="E24" s="43"/>
      <c r="F24" s="171"/>
      <c r="G24" s="171"/>
      <c r="H24" s="176"/>
      <c r="I24" s="177"/>
      <c r="J24" s="26"/>
      <c r="K24" s="26"/>
      <c r="L24" s="26"/>
      <c r="M24" s="26"/>
      <c r="N24" s="26"/>
      <c r="O24" s="26"/>
      <c r="P24" s="26"/>
      <c r="Q24" s="26"/>
      <c r="R24" s="26"/>
      <c r="S24" s="26"/>
      <c r="T24" s="26"/>
      <c r="U24" s="50"/>
      <c r="V24" s="51"/>
      <c r="W24" s="28"/>
      <c r="X24" s="30"/>
      <c r="Y24" s="60"/>
      <c r="Z24" s="61"/>
      <c r="AA24" s="168"/>
      <c r="AB24" s="169"/>
      <c r="AC24" s="70"/>
      <c r="AD24" s="71"/>
      <c r="AE24" s="71"/>
      <c r="AF24" s="72"/>
    </row>
    <row r="25" spans="1:45" ht="38.25" customHeight="1" thickBot="1"/>
    <row r="26" spans="1:45" ht="60" customHeight="1">
      <c r="B26" s="187" t="s">
        <v>16</v>
      </c>
      <c r="C26" s="189" t="s">
        <v>54</v>
      </c>
      <c r="D26" s="189"/>
      <c r="E26" s="189"/>
      <c r="F26" s="189"/>
      <c r="G26" s="189"/>
      <c r="H26" s="189"/>
      <c r="I26" s="189"/>
      <c r="J26" s="189"/>
      <c r="K26" s="189"/>
      <c r="L26" s="189"/>
      <c r="M26" s="190"/>
    </row>
    <row r="27" spans="1:45" ht="60" customHeight="1" thickBot="1">
      <c r="B27" s="208"/>
      <c r="C27" s="206"/>
      <c r="D27" s="206"/>
      <c r="E27" s="206"/>
      <c r="F27" s="206"/>
      <c r="G27" s="206"/>
      <c r="H27" s="206"/>
      <c r="I27" s="206"/>
      <c r="J27" s="206"/>
      <c r="K27" s="206"/>
      <c r="L27" s="206"/>
      <c r="M27" s="207"/>
    </row>
    <row r="28" spans="1:45" ht="60" customHeight="1">
      <c r="B28" s="187" t="s">
        <v>17</v>
      </c>
      <c r="C28" s="189" t="s">
        <v>55</v>
      </c>
      <c r="D28" s="189"/>
      <c r="E28" s="189"/>
      <c r="F28" s="189"/>
      <c r="G28" s="189"/>
      <c r="H28" s="189"/>
      <c r="I28" s="189"/>
      <c r="J28" s="189"/>
      <c r="K28" s="189"/>
      <c r="L28" s="189"/>
      <c r="M28" s="190"/>
    </row>
    <row r="29" spans="1:45" ht="60" customHeight="1" thickBot="1">
      <c r="B29" s="188"/>
      <c r="C29" s="191"/>
      <c r="D29" s="191"/>
      <c r="E29" s="191"/>
      <c r="F29" s="191"/>
      <c r="G29" s="191"/>
      <c r="H29" s="191"/>
      <c r="I29" s="191"/>
      <c r="J29" s="191"/>
      <c r="K29" s="191"/>
      <c r="L29" s="191"/>
      <c r="M29" s="192"/>
    </row>
    <row r="30" spans="1:45" ht="60" customHeight="1">
      <c r="B30" s="193" t="s">
        <v>18</v>
      </c>
      <c r="C30" s="196" t="s">
        <v>43</v>
      </c>
      <c r="D30" s="197"/>
      <c r="E30" s="197"/>
      <c r="F30" s="197"/>
      <c r="G30" s="197"/>
      <c r="H30" s="197"/>
      <c r="I30" s="197"/>
      <c r="J30" s="197"/>
      <c r="K30" s="197"/>
      <c r="L30" s="197"/>
      <c r="M30" s="198"/>
    </row>
    <row r="31" spans="1:45" ht="60" customHeight="1">
      <c r="B31" s="194"/>
      <c r="C31" s="199"/>
      <c r="D31" s="200"/>
      <c r="E31" s="200"/>
      <c r="F31" s="200"/>
      <c r="G31" s="200"/>
      <c r="H31" s="200"/>
      <c r="I31" s="200"/>
      <c r="J31" s="200"/>
      <c r="K31" s="200"/>
      <c r="L31" s="200"/>
      <c r="M31" s="201"/>
    </row>
    <row r="32" spans="1:45" ht="60" customHeight="1" thickBot="1">
      <c r="B32" s="195"/>
      <c r="C32" s="202"/>
      <c r="D32" s="203"/>
      <c r="E32" s="203"/>
      <c r="F32" s="203"/>
      <c r="G32" s="203"/>
      <c r="H32" s="203"/>
      <c r="I32" s="203"/>
      <c r="J32" s="203"/>
      <c r="K32" s="203"/>
      <c r="L32" s="203"/>
      <c r="M32" s="204"/>
    </row>
    <row r="33" spans="2:13" ht="60" customHeight="1">
      <c r="B33" s="193" t="s">
        <v>19</v>
      </c>
      <c r="C33" s="196" t="s">
        <v>42</v>
      </c>
      <c r="D33" s="197"/>
      <c r="E33" s="197"/>
      <c r="F33" s="197"/>
      <c r="G33" s="197"/>
      <c r="H33" s="197"/>
      <c r="I33" s="197"/>
      <c r="J33" s="197"/>
      <c r="K33" s="197"/>
      <c r="L33" s="197"/>
      <c r="M33" s="198"/>
    </row>
    <row r="34" spans="2:13" ht="60" customHeight="1" thickBot="1">
      <c r="B34" s="195"/>
      <c r="C34" s="202"/>
      <c r="D34" s="203"/>
      <c r="E34" s="203"/>
      <c r="F34" s="203"/>
      <c r="G34" s="203"/>
      <c r="H34" s="203"/>
      <c r="I34" s="203"/>
      <c r="J34" s="203"/>
      <c r="K34" s="203"/>
      <c r="L34" s="203"/>
      <c r="M34" s="204"/>
    </row>
    <row r="35" spans="2:13" ht="60" customHeight="1">
      <c r="B35" s="193" t="s">
        <v>23</v>
      </c>
      <c r="C35" s="196" t="s">
        <v>57</v>
      </c>
      <c r="D35" s="197"/>
      <c r="E35" s="197"/>
      <c r="F35" s="197"/>
      <c r="G35" s="197"/>
      <c r="H35" s="197"/>
      <c r="I35" s="197"/>
      <c r="J35" s="197"/>
      <c r="K35" s="197"/>
      <c r="L35" s="197"/>
      <c r="M35" s="198"/>
    </row>
    <row r="36" spans="2:13" ht="60" customHeight="1" thickBot="1">
      <c r="B36" s="195"/>
      <c r="C36" s="202"/>
      <c r="D36" s="203"/>
      <c r="E36" s="203"/>
      <c r="F36" s="203"/>
      <c r="G36" s="203"/>
      <c r="H36" s="203"/>
      <c r="I36" s="203"/>
      <c r="J36" s="203"/>
      <c r="K36" s="203"/>
      <c r="L36" s="203"/>
      <c r="M36" s="204"/>
    </row>
  </sheetData>
  <mergeCells count="163">
    <mergeCell ref="B28:B29"/>
    <mergeCell ref="C28:M29"/>
    <mergeCell ref="B30:B32"/>
    <mergeCell ref="C30:M32"/>
    <mergeCell ref="B33:B34"/>
    <mergeCell ref="C33:M34"/>
    <mergeCell ref="B35:B36"/>
    <mergeCell ref="C35:M36"/>
    <mergeCell ref="AC21:AF24"/>
    <mergeCell ref="J23:J24"/>
    <mergeCell ref="K23:K24"/>
    <mergeCell ref="L23:L24"/>
    <mergeCell ref="M23:M24"/>
    <mergeCell ref="N23:N24"/>
    <mergeCell ref="O23:O24"/>
    <mergeCell ref="P23:P24"/>
    <mergeCell ref="Q23:Q24"/>
    <mergeCell ref="R23:R24"/>
    <mergeCell ref="S23:S24"/>
    <mergeCell ref="T23:T24"/>
    <mergeCell ref="C26:M27"/>
    <mergeCell ref="B26:B27"/>
    <mergeCell ref="A5:A24"/>
    <mergeCell ref="AA5:AB24"/>
    <mergeCell ref="B21:B24"/>
    <mergeCell ref="C21:E24"/>
    <mergeCell ref="F21:G24"/>
    <mergeCell ref="H21:I24"/>
    <mergeCell ref="J21:J22"/>
    <mergeCell ref="K21:K22"/>
    <mergeCell ref="L21:L22"/>
    <mergeCell ref="M21:M22"/>
    <mergeCell ref="N21:N22"/>
    <mergeCell ref="O21:O22"/>
    <mergeCell ref="P21:P22"/>
    <mergeCell ref="Q21:Q22"/>
    <mergeCell ref="R21:R22"/>
    <mergeCell ref="S21:S22"/>
    <mergeCell ref="T21:T22"/>
    <mergeCell ref="U21:V24"/>
    <mergeCell ref="W21:X24"/>
    <mergeCell ref="Y21:Z24"/>
    <mergeCell ref="H17:H18"/>
    <mergeCell ref="I17:I18"/>
    <mergeCell ref="H19:H20"/>
    <mergeCell ref="I19:I20"/>
    <mergeCell ref="AC2:AF4"/>
    <mergeCell ref="U2:V4"/>
    <mergeCell ref="W2:X4"/>
    <mergeCell ref="Y2:Z4"/>
    <mergeCell ref="AA2:AB4"/>
    <mergeCell ref="AC5:AF8"/>
    <mergeCell ref="O7:O8"/>
    <mergeCell ref="P7:P8"/>
    <mergeCell ref="Q7:Q8"/>
    <mergeCell ref="R5:R6"/>
    <mergeCell ref="S5:S6"/>
    <mergeCell ref="T5:T6"/>
    <mergeCell ref="U5:V8"/>
    <mergeCell ref="W5:X8"/>
    <mergeCell ref="Y5:Z8"/>
    <mergeCell ref="B5:B8"/>
    <mergeCell ref="C5:E8"/>
    <mergeCell ref="F5:G8"/>
    <mergeCell ref="H5:I8"/>
    <mergeCell ref="J5:J6"/>
    <mergeCell ref="K5:K6"/>
    <mergeCell ref="C2:E4"/>
    <mergeCell ref="F2:G4"/>
    <mergeCell ref="H2:I4"/>
    <mergeCell ref="J2:T4"/>
    <mergeCell ref="T7:T8"/>
    <mergeCell ref="L5:L6"/>
    <mergeCell ref="M5:M6"/>
    <mergeCell ref="N5:N6"/>
    <mergeCell ref="O5:O6"/>
    <mergeCell ref="P5:P6"/>
    <mergeCell ref="Q5:Q6"/>
    <mergeCell ref="B9:B12"/>
    <mergeCell ref="J7:J8"/>
    <mergeCell ref="K7:K8"/>
    <mergeCell ref="L7:L8"/>
    <mergeCell ref="M7:M8"/>
    <mergeCell ref="N7:N8"/>
    <mergeCell ref="R7:R8"/>
    <mergeCell ref="S7:S8"/>
    <mergeCell ref="AC9:AF12"/>
    <mergeCell ref="U9:V12"/>
    <mergeCell ref="W9:X12"/>
    <mergeCell ref="Y9:Z12"/>
    <mergeCell ref="S11:S12"/>
    <mergeCell ref="T11:T12"/>
    <mergeCell ref="L9:L10"/>
    <mergeCell ref="M9:M10"/>
    <mergeCell ref="N9:N10"/>
    <mergeCell ref="O9:O10"/>
    <mergeCell ref="P9:P10"/>
    <mergeCell ref="Q9:Q10"/>
    <mergeCell ref="L11:L12"/>
    <mergeCell ref="M11:M12"/>
    <mergeCell ref="N11:N12"/>
    <mergeCell ref="O11:O12"/>
    <mergeCell ref="P11:P12"/>
    <mergeCell ref="Q11:Q12"/>
    <mergeCell ref="R11:R12"/>
    <mergeCell ref="R9:R10"/>
    <mergeCell ref="S9:S10"/>
    <mergeCell ref="T9:T10"/>
    <mergeCell ref="J11:J12"/>
    <mergeCell ref="K11:K12"/>
    <mergeCell ref="C9:E12"/>
    <mergeCell ref="F9:G12"/>
    <mergeCell ref="H9:I12"/>
    <mergeCell ref="J9:J10"/>
    <mergeCell ref="K9:K10"/>
    <mergeCell ref="AC17:AF20"/>
    <mergeCell ref="L13:L14"/>
    <mergeCell ref="M13:M14"/>
    <mergeCell ref="N13:N14"/>
    <mergeCell ref="O13:O14"/>
    <mergeCell ref="P13:P14"/>
    <mergeCell ref="Q13:Q14"/>
    <mergeCell ref="B13:B16"/>
    <mergeCell ref="C13:E16"/>
    <mergeCell ref="F13:G16"/>
    <mergeCell ref="H13:I16"/>
    <mergeCell ref="J13:J14"/>
    <mergeCell ref="K13:K14"/>
    <mergeCell ref="AC13:AF16"/>
    <mergeCell ref="J15:J16"/>
    <mergeCell ref="K15:K16"/>
    <mergeCell ref="L15:L16"/>
    <mergeCell ref="M15:M16"/>
    <mergeCell ref="N15:N16"/>
    <mergeCell ref="O15:O16"/>
    <mergeCell ref="P15:P16"/>
    <mergeCell ref="Q15:Q16"/>
    <mergeCell ref="R15:R16"/>
    <mergeCell ref="R13:R14"/>
    <mergeCell ref="S13:S14"/>
    <mergeCell ref="T13:T14"/>
    <mergeCell ref="U13:V16"/>
    <mergeCell ref="W13:X16"/>
    <mergeCell ref="Y13:Z16"/>
    <mergeCell ref="S15:S16"/>
    <mergeCell ref="T15:T16"/>
    <mergeCell ref="R17:R18"/>
    <mergeCell ref="S17:S18"/>
    <mergeCell ref="T17:T18"/>
    <mergeCell ref="U17:V20"/>
    <mergeCell ref="W17:X20"/>
    <mergeCell ref="Y17:Z20"/>
    <mergeCell ref="L17:L18"/>
    <mergeCell ref="M17:M18"/>
    <mergeCell ref="N17:N18"/>
    <mergeCell ref="O17:O18"/>
    <mergeCell ref="P17:P18"/>
    <mergeCell ref="Q17:Q18"/>
    <mergeCell ref="B17:B20"/>
    <mergeCell ref="C17:E20"/>
    <mergeCell ref="F17:G20"/>
    <mergeCell ref="J17:J18"/>
    <mergeCell ref="K17:K18"/>
  </mergeCells>
  <phoneticPr fontId="10"/>
  <conditionalFormatting sqref="W5:W6">
    <cfRule type="cellIs" dxfId="3" priority="1" stopIfTrue="1" operator="equal">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53527-5053-4D09-B080-B381740A8378}">
  <dimension ref="A1:AS36"/>
  <sheetViews>
    <sheetView zoomScale="40" zoomScaleNormal="40" workbookViewId="0">
      <selection activeCell="I19" sqref="I19:I20"/>
    </sheetView>
  </sheetViews>
  <sheetFormatPr defaultColWidth="9" defaultRowHeight="38.549999999999997" customHeight="1"/>
  <cols>
    <col min="32" max="32" width="33.46484375" customWidth="1"/>
  </cols>
  <sheetData>
    <row r="1" spans="1:45" ht="38.549999999999997" customHeight="1" thickBot="1"/>
    <row r="2" spans="1:45" s="1" customFormat="1" ht="38.549999999999997" customHeight="1">
      <c r="C2" s="115" t="s">
        <v>0</v>
      </c>
      <c r="D2" s="116"/>
      <c r="E2" s="117"/>
      <c r="F2" s="124" t="s">
        <v>1</v>
      </c>
      <c r="G2" s="125"/>
      <c r="H2" s="128" t="s">
        <v>2</v>
      </c>
      <c r="I2" s="124"/>
      <c r="J2" s="133" t="s">
        <v>3</v>
      </c>
      <c r="K2" s="134"/>
      <c r="L2" s="134"/>
      <c r="M2" s="134"/>
      <c r="N2" s="134"/>
      <c r="O2" s="134"/>
      <c r="P2" s="134"/>
      <c r="Q2" s="134"/>
      <c r="R2" s="134"/>
      <c r="S2" s="134"/>
      <c r="T2" s="135"/>
      <c r="U2" s="148" t="s">
        <v>4</v>
      </c>
      <c r="V2" s="149"/>
      <c r="W2" s="152" t="s">
        <v>5</v>
      </c>
      <c r="X2" s="152"/>
      <c r="Y2" s="155" t="s">
        <v>6</v>
      </c>
      <c r="Z2" s="155"/>
      <c r="AA2" s="155" t="s">
        <v>7</v>
      </c>
      <c r="AB2" s="158"/>
      <c r="AC2" s="142" t="s">
        <v>8</v>
      </c>
      <c r="AD2" s="124"/>
      <c r="AE2" s="124"/>
      <c r="AF2" s="143"/>
    </row>
    <row r="3" spans="1:45" s="1" customFormat="1" ht="38.549999999999997" customHeight="1">
      <c r="C3" s="118"/>
      <c r="D3" s="119"/>
      <c r="E3" s="120"/>
      <c r="F3" s="119"/>
      <c r="G3" s="126"/>
      <c r="H3" s="129"/>
      <c r="I3" s="130"/>
      <c r="J3" s="136"/>
      <c r="K3" s="137"/>
      <c r="L3" s="137"/>
      <c r="M3" s="137"/>
      <c r="N3" s="137"/>
      <c r="O3" s="137"/>
      <c r="P3" s="137"/>
      <c r="Q3" s="137"/>
      <c r="R3" s="137"/>
      <c r="S3" s="137"/>
      <c r="T3" s="138"/>
      <c r="U3" s="150"/>
      <c r="V3" s="150"/>
      <c r="W3" s="153"/>
      <c r="X3" s="153"/>
      <c r="Y3" s="156"/>
      <c r="Z3" s="156"/>
      <c r="AA3" s="159"/>
      <c r="AB3" s="159"/>
      <c r="AC3" s="144"/>
      <c r="AD3" s="130"/>
      <c r="AE3" s="130"/>
      <c r="AF3" s="145"/>
    </row>
    <row r="4" spans="1:45" s="1" customFormat="1" ht="38.549999999999997" customHeight="1" thickBot="1">
      <c r="A4" s="3"/>
      <c r="B4" s="3"/>
      <c r="C4" s="121"/>
      <c r="D4" s="122"/>
      <c r="E4" s="123"/>
      <c r="F4" s="122"/>
      <c r="G4" s="127"/>
      <c r="H4" s="131"/>
      <c r="I4" s="132"/>
      <c r="J4" s="139"/>
      <c r="K4" s="140"/>
      <c r="L4" s="140"/>
      <c r="M4" s="140"/>
      <c r="N4" s="140"/>
      <c r="O4" s="140"/>
      <c r="P4" s="140"/>
      <c r="Q4" s="140"/>
      <c r="R4" s="140"/>
      <c r="S4" s="140"/>
      <c r="T4" s="141"/>
      <c r="U4" s="151"/>
      <c r="V4" s="151"/>
      <c r="W4" s="154"/>
      <c r="X4" s="154"/>
      <c r="Y4" s="157"/>
      <c r="Z4" s="157"/>
      <c r="AA4" s="160"/>
      <c r="AB4" s="160"/>
      <c r="AC4" s="146"/>
      <c r="AD4" s="132"/>
      <c r="AE4" s="132"/>
      <c r="AF4" s="147"/>
    </row>
    <row r="5" spans="1:45" s="2" customFormat="1" ht="38.549999999999997" customHeight="1">
      <c r="A5" s="161" t="s">
        <v>9</v>
      </c>
      <c r="B5" s="74" t="s">
        <v>10</v>
      </c>
      <c r="C5" s="98" t="s">
        <v>46</v>
      </c>
      <c r="D5" s="99"/>
      <c r="E5" s="100"/>
      <c r="F5" s="107" t="s">
        <v>47</v>
      </c>
      <c r="G5" s="108"/>
      <c r="H5" s="109"/>
      <c r="I5" s="110"/>
      <c r="J5" s="27">
        <v>0</v>
      </c>
      <c r="K5" s="25">
        <v>10</v>
      </c>
      <c r="L5" s="25">
        <v>20</v>
      </c>
      <c r="M5" s="25">
        <v>30</v>
      </c>
      <c r="N5" s="25">
        <v>40</v>
      </c>
      <c r="O5" s="25">
        <v>50</v>
      </c>
      <c r="P5" s="31">
        <v>60</v>
      </c>
      <c r="Q5" s="25">
        <v>70</v>
      </c>
      <c r="R5" s="25">
        <v>80</v>
      </c>
      <c r="S5" s="25">
        <v>90</v>
      </c>
      <c r="T5" s="25">
        <v>100</v>
      </c>
      <c r="U5" s="46"/>
      <c r="V5" s="47"/>
      <c r="W5" s="52">
        <v>0.1</v>
      </c>
      <c r="X5" s="53"/>
      <c r="Y5" s="56">
        <f>U5*W5</f>
        <v>0</v>
      </c>
      <c r="Z5" s="57"/>
      <c r="AA5" s="164">
        <f>SUM(Y5:Z24)</f>
        <v>0</v>
      </c>
      <c r="AB5" s="165"/>
      <c r="AC5" s="64"/>
      <c r="AD5" s="65"/>
      <c r="AE5" s="65"/>
      <c r="AF5" s="66"/>
    </row>
    <row r="6" spans="1:45" s="2" customFormat="1" ht="38.549999999999997" customHeight="1">
      <c r="A6" s="162"/>
      <c r="B6" s="75"/>
      <c r="C6" s="101"/>
      <c r="D6" s="102"/>
      <c r="E6" s="103"/>
      <c r="F6" s="45"/>
      <c r="G6" s="45"/>
      <c r="H6" s="111"/>
      <c r="I6" s="112"/>
      <c r="J6" s="28"/>
      <c r="K6" s="26"/>
      <c r="L6" s="26"/>
      <c r="M6" s="26"/>
      <c r="N6" s="26"/>
      <c r="O6" s="26"/>
      <c r="P6" s="26"/>
      <c r="Q6" s="26"/>
      <c r="R6" s="26"/>
      <c r="S6" s="26"/>
      <c r="T6" s="26"/>
      <c r="U6" s="48"/>
      <c r="V6" s="49"/>
      <c r="W6" s="54"/>
      <c r="X6" s="55"/>
      <c r="Y6" s="58"/>
      <c r="Z6" s="59"/>
      <c r="AA6" s="166"/>
      <c r="AB6" s="167"/>
      <c r="AC6" s="67"/>
      <c r="AD6" s="68"/>
      <c r="AE6" s="68"/>
      <c r="AF6" s="69"/>
    </row>
    <row r="7" spans="1:45" s="2" customFormat="1" ht="38.549999999999997" customHeight="1">
      <c r="A7" s="162"/>
      <c r="B7" s="75"/>
      <c r="C7" s="101"/>
      <c r="D7" s="102"/>
      <c r="E7" s="103"/>
      <c r="F7" s="45"/>
      <c r="G7" s="45"/>
      <c r="H7" s="111"/>
      <c r="I7" s="112"/>
      <c r="J7" s="62" t="s">
        <v>11</v>
      </c>
      <c r="K7" s="62">
        <v>75</v>
      </c>
      <c r="L7" s="62">
        <v>80</v>
      </c>
      <c r="M7" s="62">
        <v>85</v>
      </c>
      <c r="N7" s="62">
        <v>90</v>
      </c>
      <c r="O7" s="62">
        <v>95</v>
      </c>
      <c r="P7" s="86">
        <v>1</v>
      </c>
      <c r="Q7" s="62">
        <v>105</v>
      </c>
      <c r="R7" s="62">
        <v>110</v>
      </c>
      <c r="S7" s="62">
        <v>115</v>
      </c>
      <c r="T7" s="62" t="s">
        <v>12</v>
      </c>
      <c r="U7" s="48"/>
      <c r="V7" s="49"/>
      <c r="W7" s="54"/>
      <c r="X7" s="55"/>
      <c r="Y7" s="58"/>
      <c r="Z7" s="59"/>
      <c r="AA7" s="166"/>
      <c r="AB7" s="167"/>
      <c r="AC7" s="67"/>
      <c r="AD7" s="68"/>
      <c r="AE7" s="68"/>
      <c r="AF7" s="69"/>
    </row>
    <row r="8" spans="1:45" s="2" customFormat="1" ht="38.549999999999997" customHeight="1" thickBot="1">
      <c r="A8" s="162"/>
      <c r="B8" s="76"/>
      <c r="C8" s="104"/>
      <c r="D8" s="105"/>
      <c r="E8" s="106"/>
      <c r="F8" s="45"/>
      <c r="G8" s="45"/>
      <c r="H8" s="113"/>
      <c r="I8" s="114"/>
      <c r="J8" s="26"/>
      <c r="K8" s="26"/>
      <c r="L8" s="26"/>
      <c r="M8" s="26"/>
      <c r="N8" s="26"/>
      <c r="O8" s="26"/>
      <c r="P8" s="26"/>
      <c r="Q8" s="26"/>
      <c r="R8" s="26"/>
      <c r="S8" s="26"/>
      <c r="T8" s="26"/>
      <c r="U8" s="50"/>
      <c r="V8" s="51"/>
      <c r="W8" s="28"/>
      <c r="X8" s="30"/>
      <c r="Y8" s="60"/>
      <c r="Z8" s="61"/>
      <c r="AA8" s="166"/>
      <c r="AB8" s="167"/>
      <c r="AC8" s="67"/>
      <c r="AD8" s="68"/>
      <c r="AE8" s="68"/>
      <c r="AF8" s="69"/>
    </row>
    <row r="9" spans="1:45" s="2" customFormat="1" ht="38.549999999999997" customHeight="1">
      <c r="A9" s="162"/>
      <c r="B9" s="74" t="s">
        <v>13</v>
      </c>
      <c r="C9" s="35" t="s">
        <v>21</v>
      </c>
      <c r="D9" s="36"/>
      <c r="E9" s="37"/>
      <c r="F9" s="87" t="s">
        <v>48</v>
      </c>
      <c r="G9" s="88"/>
      <c r="H9" s="78"/>
      <c r="I9" s="89"/>
      <c r="J9" s="27">
        <v>0</v>
      </c>
      <c r="K9" s="25">
        <v>10</v>
      </c>
      <c r="L9" s="25">
        <v>20</v>
      </c>
      <c r="M9" s="27">
        <v>30</v>
      </c>
      <c r="N9" s="25">
        <v>40</v>
      </c>
      <c r="O9" s="29">
        <v>50</v>
      </c>
      <c r="P9" s="31">
        <v>60</v>
      </c>
      <c r="Q9" s="25">
        <v>70</v>
      </c>
      <c r="R9" s="25">
        <v>80</v>
      </c>
      <c r="S9" s="25">
        <v>90</v>
      </c>
      <c r="T9" s="25">
        <v>100</v>
      </c>
      <c r="U9" s="46"/>
      <c r="V9" s="47"/>
      <c r="W9" s="52">
        <v>0.35</v>
      </c>
      <c r="X9" s="53"/>
      <c r="Y9" s="94">
        <f>U9*W9</f>
        <v>0</v>
      </c>
      <c r="Z9" s="57"/>
      <c r="AA9" s="166"/>
      <c r="AB9" s="167"/>
      <c r="AC9" s="64"/>
      <c r="AD9" s="65"/>
      <c r="AE9" s="65"/>
      <c r="AF9" s="66"/>
    </row>
    <row r="10" spans="1:45" s="2" customFormat="1" ht="38.549999999999997" customHeight="1">
      <c r="A10" s="162"/>
      <c r="B10" s="75"/>
      <c r="C10" s="38"/>
      <c r="D10" s="39"/>
      <c r="E10" s="40"/>
      <c r="F10" s="88"/>
      <c r="G10" s="88"/>
      <c r="H10" s="80"/>
      <c r="I10" s="90"/>
      <c r="J10" s="28"/>
      <c r="K10" s="26"/>
      <c r="L10" s="26"/>
      <c r="M10" s="28"/>
      <c r="N10" s="26"/>
      <c r="O10" s="30"/>
      <c r="P10" s="26"/>
      <c r="Q10" s="26"/>
      <c r="R10" s="26"/>
      <c r="S10" s="26"/>
      <c r="T10" s="26"/>
      <c r="U10" s="48"/>
      <c r="V10" s="49"/>
      <c r="W10" s="54"/>
      <c r="X10" s="55"/>
      <c r="Y10" s="95"/>
      <c r="Z10" s="59"/>
      <c r="AA10" s="166"/>
      <c r="AB10" s="167"/>
      <c r="AC10" s="67"/>
      <c r="AD10" s="68"/>
      <c r="AE10" s="68"/>
      <c r="AF10" s="69"/>
    </row>
    <row r="11" spans="1:45" s="2" customFormat="1" ht="38.549999999999997" customHeight="1">
      <c r="A11" s="162"/>
      <c r="B11" s="75"/>
      <c r="C11" s="38"/>
      <c r="D11" s="39"/>
      <c r="E11" s="40"/>
      <c r="F11" s="88"/>
      <c r="G11" s="88"/>
      <c r="H11" s="80"/>
      <c r="I11" s="90"/>
      <c r="J11" s="62" t="s">
        <v>24</v>
      </c>
      <c r="K11" s="62">
        <v>50</v>
      </c>
      <c r="L11" s="62">
        <v>60</v>
      </c>
      <c r="M11" s="62">
        <v>70</v>
      </c>
      <c r="N11" s="62">
        <v>80</v>
      </c>
      <c r="O11" s="62">
        <v>90</v>
      </c>
      <c r="P11" s="86">
        <v>1</v>
      </c>
      <c r="Q11" s="62">
        <v>150</v>
      </c>
      <c r="R11" s="62">
        <v>200</v>
      </c>
      <c r="S11" s="62">
        <v>250</v>
      </c>
      <c r="T11" s="62" t="s">
        <v>25</v>
      </c>
      <c r="U11" s="92"/>
      <c r="V11" s="49"/>
      <c r="W11" s="54"/>
      <c r="X11" s="55"/>
      <c r="Y11" s="95"/>
      <c r="Z11" s="59"/>
      <c r="AA11" s="166"/>
      <c r="AB11" s="167"/>
      <c r="AC11" s="67"/>
      <c r="AD11" s="68"/>
      <c r="AE11" s="68"/>
      <c r="AF11" s="69"/>
    </row>
    <row r="12" spans="1:45" s="2" customFormat="1" ht="38.549999999999997" customHeight="1" thickBot="1">
      <c r="A12" s="162"/>
      <c r="B12" s="76"/>
      <c r="C12" s="41"/>
      <c r="D12" s="42"/>
      <c r="E12" s="43"/>
      <c r="F12" s="88"/>
      <c r="G12" s="88"/>
      <c r="H12" s="82"/>
      <c r="I12" s="91"/>
      <c r="J12" s="26"/>
      <c r="K12" s="26"/>
      <c r="L12" s="26"/>
      <c r="M12" s="26"/>
      <c r="N12" s="97"/>
      <c r="O12" s="26"/>
      <c r="P12" s="26"/>
      <c r="Q12" s="26"/>
      <c r="R12" s="26"/>
      <c r="S12" s="26"/>
      <c r="T12" s="26"/>
      <c r="U12" s="93"/>
      <c r="V12" s="51"/>
      <c r="W12" s="28"/>
      <c r="X12" s="30"/>
      <c r="Y12" s="96"/>
      <c r="Z12" s="61"/>
      <c r="AA12" s="166"/>
      <c r="AB12" s="167"/>
      <c r="AC12" s="67"/>
      <c r="AD12" s="68"/>
      <c r="AE12" s="68"/>
      <c r="AF12" s="69"/>
      <c r="AK12" s="4"/>
      <c r="AL12" s="4"/>
      <c r="AM12" s="4"/>
      <c r="AN12" s="4"/>
      <c r="AO12" s="4"/>
      <c r="AP12" s="4"/>
      <c r="AQ12" s="4"/>
      <c r="AR12" s="4"/>
      <c r="AS12" s="4"/>
    </row>
    <row r="13" spans="1:45" s="2" customFormat="1" ht="38.549999999999997" customHeight="1">
      <c r="A13" s="162"/>
      <c r="B13" s="74" t="s">
        <v>14</v>
      </c>
      <c r="C13" s="35" t="s">
        <v>49</v>
      </c>
      <c r="D13" s="36"/>
      <c r="E13" s="37"/>
      <c r="F13" s="44" t="s">
        <v>50</v>
      </c>
      <c r="G13" s="77"/>
      <c r="H13" s="78"/>
      <c r="I13" s="79"/>
      <c r="J13" s="27">
        <v>0</v>
      </c>
      <c r="K13" s="25">
        <v>10</v>
      </c>
      <c r="L13" s="25">
        <v>20</v>
      </c>
      <c r="M13" s="25">
        <v>30</v>
      </c>
      <c r="N13" s="73">
        <v>40</v>
      </c>
      <c r="O13" s="25">
        <v>50</v>
      </c>
      <c r="P13" s="31">
        <v>60</v>
      </c>
      <c r="Q13" s="25">
        <v>70</v>
      </c>
      <c r="R13" s="25">
        <v>80</v>
      </c>
      <c r="S13" s="25">
        <v>90</v>
      </c>
      <c r="T13" s="25">
        <v>100</v>
      </c>
      <c r="U13" s="46"/>
      <c r="V13" s="47"/>
      <c r="W13" s="52">
        <v>0.25</v>
      </c>
      <c r="X13" s="53"/>
      <c r="Y13" s="56">
        <f>U13*W13</f>
        <v>0</v>
      </c>
      <c r="Z13" s="57"/>
      <c r="AA13" s="166"/>
      <c r="AB13" s="167"/>
      <c r="AC13" s="64"/>
      <c r="AD13" s="65"/>
      <c r="AE13" s="65"/>
      <c r="AF13" s="66"/>
      <c r="AJ13" s="4"/>
      <c r="AK13" s="4"/>
      <c r="AL13" s="4"/>
      <c r="AM13" s="4"/>
      <c r="AN13" s="4"/>
      <c r="AO13" s="4"/>
      <c r="AP13" s="4"/>
      <c r="AQ13" s="4"/>
      <c r="AR13" s="4"/>
      <c r="AS13" s="4"/>
    </row>
    <row r="14" spans="1:45" s="2" customFormat="1" ht="38.549999999999997" customHeight="1">
      <c r="A14" s="162"/>
      <c r="B14" s="75"/>
      <c r="C14" s="38"/>
      <c r="D14" s="39"/>
      <c r="E14" s="40"/>
      <c r="F14" s="77"/>
      <c r="G14" s="77"/>
      <c r="H14" s="80"/>
      <c r="I14" s="81"/>
      <c r="J14" s="28"/>
      <c r="K14" s="26"/>
      <c r="L14" s="26"/>
      <c r="M14" s="26"/>
      <c r="N14" s="26"/>
      <c r="O14" s="26"/>
      <c r="P14" s="26"/>
      <c r="Q14" s="26"/>
      <c r="R14" s="26"/>
      <c r="S14" s="26"/>
      <c r="T14" s="26"/>
      <c r="U14" s="48"/>
      <c r="V14" s="49"/>
      <c r="W14" s="54"/>
      <c r="X14" s="55"/>
      <c r="Y14" s="58"/>
      <c r="Z14" s="59"/>
      <c r="AA14" s="166"/>
      <c r="AB14" s="167"/>
      <c r="AC14" s="67"/>
      <c r="AD14" s="68"/>
      <c r="AE14" s="68"/>
      <c r="AF14" s="69"/>
    </row>
    <row r="15" spans="1:45" s="2" customFormat="1" ht="38.549999999999997" customHeight="1">
      <c r="A15" s="162"/>
      <c r="B15" s="75"/>
      <c r="C15" s="38"/>
      <c r="D15" s="39"/>
      <c r="E15" s="40"/>
      <c r="F15" s="77"/>
      <c r="G15" s="77"/>
      <c r="H15" s="80"/>
      <c r="I15" s="81"/>
      <c r="J15" s="63">
        <v>0</v>
      </c>
      <c r="K15" s="62">
        <v>10</v>
      </c>
      <c r="L15" s="62">
        <v>20</v>
      </c>
      <c r="M15" s="62">
        <v>30</v>
      </c>
      <c r="N15" s="62">
        <v>40</v>
      </c>
      <c r="O15" s="62">
        <v>50</v>
      </c>
      <c r="P15" s="84">
        <v>0.6</v>
      </c>
      <c r="Q15" s="62">
        <v>70</v>
      </c>
      <c r="R15" s="62">
        <v>80</v>
      </c>
      <c r="S15" s="62">
        <v>90</v>
      </c>
      <c r="T15" s="63">
        <v>1</v>
      </c>
      <c r="U15" s="48"/>
      <c r="V15" s="49"/>
      <c r="W15" s="54"/>
      <c r="X15" s="55"/>
      <c r="Y15" s="58"/>
      <c r="Z15" s="59"/>
      <c r="AA15" s="166"/>
      <c r="AB15" s="167"/>
      <c r="AC15" s="67"/>
      <c r="AD15" s="68"/>
      <c r="AE15" s="68"/>
      <c r="AF15" s="69"/>
    </row>
    <row r="16" spans="1:45" s="2" customFormat="1" ht="38.549999999999997" customHeight="1" thickBot="1">
      <c r="A16" s="162"/>
      <c r="B16" s="76"/>
      <c r="C16" s="41"/>
      <c r="D16" s="42"/>
      <c r="E16" s="43"/>
      <c r="F16" s="77"/>
      <c r="G16" s="77"/>
      <c r="H16" s="82"/>
      <c r="I16" s="83"/>
      <c r="J16" s="26"/>
      <c r="K16" s="26"/>
      <c r="L16" s="26"/>
      <c r="M16" s="26"/>
      <c r="N16" s="26"/>
      <c r="O16" s="26"/>
      <c r="P16" s="85"/>
      <c r="Q16" s="26"/>
      <c r="R16" s="26"/>
      <c r="S16" s="26"/>
      <c r="T16" s="26"/>
      <c r="U16" s="50"/>
      <c r="V16" s="51"/>
      <c r="W16" s="28"/>
      <c r="X16" s="30"/>
      <c r="Y16" s="60"/>
      <c r="Z16" s="61"/>
      <c r="AA16" s="166"/>
      <c r="AB16" s="167"/>
      <c r="AC16" s="67"/>
      <c r="AD16" s="68"/>
      <c r="AE16" s="68"/>
      <c r="AF16" s="69"/>
    </row>
    <row r="17" spans="1:45" s="2" customFormat="1" ht="38.549999999999997" customHeight="1">
      <c r="A17" s="162"/>
      <c r="B17" s="32" t="s">
        <v>15</v>
      </c>
      <c r="C17" s="35" t="s">
        <v>22</v>
      </c>
      <c r="D17" s="36"/>
      <c r="E17" s="37"/>
      <c r="F17" s="44" t="s">
        <v>51</v>
      </c>
      <c r="G17" s="45"/>
      <c r="H17" s="180" t="s">
        <v>40</v>
      </c>
      <c r="I17" s="182"/>
      <c r="J17" s="27">
        <v>0</v>
      </c>
      <c r="K17" s="25">
        <v>10</v>
      </c>
      <c r="L17" s="25">
        <v>20</v>
      </c>
      <c r="M17" s="27">
        <v>30</v>
      </c>
      <c r="N17" s="25">
        <v>40</v>
      </c>
      <c r="O17" s="29">
        <v>50</v>
      </c>
      <c r="P17" s="31">
        <v>60</v>
      </c>
      <c r="Q17" s="25">
        <v>70</v>
      </c>
      <c r="R17" s="25">
        <v>80</v>
      </c>
      <c r="S17" s="25">
        <v>90</v>
      </c>
      <c r="T17" s="25">
        <v>100</v>
      </c>
      <c r="U17" s="46"/>
      <c r="V17" s="47"/>
      <c r="W17" s="52">
        <v>0.15</v>
      </c>
      <c r="X17" s="53"/>
      <c r="Y17" s="56">
        <f>U17*W17</f>
        <v>0</v>
      </c>
      <c r="Z17" s="57"/>
      <c r="AA17" s="166"/>
      <c r="AB17" s="167"/>
      <c r="AC17" s="64"/>
      <c r="AD17" s="65"/>
      <c r="AE17" s="65"/>
      <c r="AF17" s="66"/>
      <c r="AJ17" s="4"/>
      <c r="AK17" s="4"/>
      <c r="AL17" s="4"/>
      <c r="AM17" s="4"/>
      <c r="AN17" s="4"/>
      <c r="AO17" s="4"/>
      <c r="AP17" s="4"/>
      <c r="AQ17" s="4"/>
      <c r="AR17" s="4"/>
      <c r="AS17" s="4"/>
    </row>
    <row r="18" spans="1:45" s="2" customFormat="1" ht="38.549999999999997" customHeight="1">
      <c r="A18" s="162"/>
      <c r="B18" s="33"/>
      <c r="C18" s="38"/>
      <c r="D18" s="39"/>
      <c r="E18" s="40"/>
      <c r="F18" s="45"/>
      <c r="G18" s="45"/>
      <c r="H18" s="181"/>
      <c r="I18" s="183"/>
      <c r="J18" s="28"/>
      <c r="K18" s="26"/>
      <c r="L18" s="26"/>
      <c r="M18" s="28"/>
      <c r="N18" s="26"/>
      <c r="O18" s="30"/>
      <c r="P18" s="26"/>
      <c r="Q18" s="26"/>
      <c r="R18" s="26"/>
      <c r="S18" s="26"/>
      <c r="T18" s="26"/>
      <c r="U18" s="48"/>
      <c r="V18" s="49"/>
      <c r="W18" s="54"/>
      <c r="X18" s="55"/>
      <c r="Y18" s="58"/>
      <c r="Z18" s="59"/>
      <c r="AA18" s="166"/>
      <c r="AB18" s="167"/>
      <c r="AC18" s="67"/>
      <c r="AD18" s="68"/>
      <c r="AE18" s="68"/>
      <c r="AF18" s="69"/>
    </row>
    <row r="19" spans="1:45" s="2" customFormat="1" ht="38.549999999999997" customHeight="1">
      <c r="A19" s="162"/>
      <c r="B19" s="33"/>
      <c r="C19" s="38"/>
      <c r="D19" s="39"/>
      <c r="E19" s="40"/>
      <c r="F19" s="45"/>
      <c r="G19" s="45"/>
      <c r="H19" s="181" t="s">
        <v>41</v>
      </c>
      <c r="I19" s="185"/>
      <c r="J19" s="7">
        <v>0</v>
      </c>
      <c r="K19" s="8">
        <v>2</v>
      </c>
      <c r="L19" s="8">
        <v>4</v>
      </c>
      <c r="M19" s="8">
        <v>8</v>
      </c>
      <c r="N19" s="8">
        <v>12</v>
      </c>
      <c r="O19" s="8">
        <v>16</v>
      </c>
      <c r="P19" s="9">
        <v>40</v>
      </c>
      <c r="Q19" s="8">
        <v>50</v>
      </c>
      <c r="R19" s="8">
        <v>60</v>
      </c>
      <c r="S19" s="8">
        <v>70</v>
      </c>
      <c r="T19" s="8" t="s">
        <v>26</v>
      </c>
      <c r="U19" s="48"/>
      <c r="V19" s="49"/>
      <c r="W19" s="54"/>
      <c r="X19" s="55"/>
      <c r="Y19" s="58"/>
      <c r="Z19" s="59"/>
      <c r="AA19" s="166"/>
      <c r="AB19" s="167"/>
      <c r="AC19" s="67"/>
      <c r="AD19" s="68"/>
      <c r="AE19" s="68"/>
      <c r="AF19" s="69"/>
    </row>
    <row r="20" spans="1:45" s="2" customFormat="1" ht="38.549999999999997" customHeight="1" thickBot="1">
      <c r="A20" s="162"/>
      <c r="B20" s="34"/>
      <c r="C20" s="41"/>
      <c r="D20" s="42"/>
      <c r="E20" s="43"/>
      <c r="F20" s="45"/>
      <c r="G20" s="45"/>
      <c r="H20" s="184"/>
      <c r="I20" s="186"/>
      <c r="J20" s="10" t="s">
        <v>27</v>
      </c>
      <c r="K20" s="11" t="s">
        <v>28</v>
      </c>
      <c r="L20" s="11" t="s">
        <v>29</v>
      </c>
      <c r="M20" s="11" t="s">
        <v>30</v>
      </c>
      <c r="N20" s="11" t="s">
        <v>31</v>
      </c>
      <c r="O20" s="11" t="s">
        <v>32</v>
      </c>
      <c r="P20" s="12" t="s">
        <v>33</v>
      </c>
      <c r="Q20" s="11" t="s">
        <v>34</v>
      </c>
      <c r="R20" s="11" t="s">
        <v>35</v>
      </c>
      <c r="S20" s="11" t="s">
        <v>36</v>
      </c>
      <c r="T20" s="11" t="s">
        <v>37</v>
      </c>
      <c r="U20" s="50"/>
      <c r="V20" s="51"/>
      <c r="W20" s="28"/>
      <c r="X20" s="30"/>
      <c r="Y20" s="60"/>
      <c r="Z20" s="61"/>
      <c r="AA20" s="166"/>
      <c r="AB20" s="167"/>
      <c r="AC20" s="70"/>
      <c r="AD20" s="71"/>
      <c r="AE20" s="71"/>
      <c r="AF20" s="72"/>
    </row>
    <row r="21" spans="1:45" ht="38.549999999999997" customHeight="1">
      <c r="A21" s="162"/>
      <c r="B21" s="32" t="s">
        <v>23</v>
      </c>
      <c r="C21" s="35" t="s">
        <v>52</v>
      </c>
      <c r="D21" s="36"/>
      <c r="E21" s="37"/>
      <c r="F21" s="170" t="s">
        <v>53</v>
      </c>
      <c r="G21" s="171"/>
      <c r="H21" s="172"/>
      <c r="I21" s="173"/>
      <c r="J21" s="27">
        <v>0</v>
      </c>
      <c r="K21" s="25">
        <v>10</v>
      </c>
      <c r="L21" s="25">
        <v>20</v>
      </c>
      <c r="M21" s="25">
        <v>30</v>
      </c>
      <c r="N21" s="25">
        <v>40</v>
      </c>
      <c r="O21" s="25">
        <v>50</v>
      </c>
      <c r="P21" s="31">
        <v>60</v>
      </c>
      <c r="Q21" s="25">
        <v>70</v>
      </c>
      <c r="R21" s="25">
        <v>80</v>
      </c>
      <c r="S21" s="25">
        <v>90</v>
      </c>
      <c r="T21" s="25">
        <v>100</v>
      </c>
      <c r="U21" s="178"/>
      <c r="V21" s="179"/>
      <c r="W21" s="52">
        <v>0.15</v>
      </c>
      <c r="X21" s="53"/>
      <c r="Y21" s="56">
        <f>U21*W21</f>
        <v>0</v>
      </c>
      <c r="Z21" s="57"/>
      <c r="AA21" s="166"/>
      <c r="AB21" s="167"/>
      <c r="AC21" s="64"/>
      <c r="AD21" s="65"/>
      <c r="AE21" s="65"/>
      <c r="AF21" s="66"/>
    </row>
    <row r="22" spans="1:45" ht="38.549999999999997" customHeight="1">
      <c r="A22" s="162"/>
      <c r="B22" s="33"/>
      <c r="C22" s="38"/>
      <c r="D22" s="39"/>
      <c r="E22" s="40"/>
      <c r="F22" s="171"/>
      <c r="G22" s="171"/>
      <c r="H22" s="174"/>
      <c r="I22" s="175"/>
      <c r="J22" s="28"/>
      <c r="K22" s="26"/>
      <c r="L22" s="26"/>
      <c r="M22" s="26"/>
      <c r="N22" s="26"/>
      <c r="O22" s="26"/>
      <c r="P22" s="26"/>
      <c r="Q22" s="26"/>
      <c r="R22" s="26"/>
      <c r="S22" s="26"/>
      <c r="T22" s="26"/>
      <c r="U22" s="48"/>
      <c r="V22" s="49"/>
      <c r="W22" s="54"/>
      <c r="X22" s="55"/>
      <c r="Y22" s="58"/>
      <c r="Z22" s="59"/>
      <c r="AA22" s="166"/>
      <c r="AB22" s="167"/>
      <c r="AC22" s="67"/>
      <c r="AD22" s="68"/>
      <c r="AE22" s="68"/>
      <c r="AF22" s="69"/>
    </row>
    <row r="23" spans="1:45" ht="38.549999999999997" customHeight="1">
      <c r="A23" s="162"/>
      <c r="B23" s="33"/>
      <c r="C23" s="38"/>
      <c r="D23" s="39"/>
      <c r="E23" s="40"/>
      <c r="F23" s="171"/>
      <c r="G23" s="171"/>
      <c r="H23" s="174"/>
      <c r="I23" s="175"/>
      <c r="J23" s="62" t="s">
        <v>38</v>
      </c>
      <c r="K23" s="62">
        <v>10</v>
      </c>
      <c r="L23" s="62">
        <v>15</v>
      </c>
      <c r="M23" s="62">
        <v>20</v>
      </c>
      <c r="N23" s="62">
        <v>25</v>
      </c>
      <c r="O23" s="62">
        <v>30</v>
      </c>
      <c r="P23" s="205">
        <v>40</v>
      </c>
      <c r="Q23" s="62">
        <v>45</v>
      </c>
      <c r="R23" s="62">
        <v>50</v>
      </c>
      <c r="S23" s="62">
        <v>55</v>
      </c>
      <c r="T23" s="62" t="s">
        <v>39</v>
      </c>
      <c r="U23" s="48"/>
      <c r="V23" s="49"/>
      <c r="W23" s="54"/>
      <c r="X23" s="55"/>
      <c r="Y23" s="58"/>
      <c r="Z23" s="59"/>
      <c r="AA23" s="166"/>
      <c r="AB23" s="167"/>
      <c r="AC23" s="67"/>
      <c r="AD23" s="68"/>
      <c r="AE23" s="68"/>
      <c r="AF23" s="69"/>
    </row>
    <row r="24" spans="1:45" ht="38.549999999999997" customHeight="1" thickBot="1">
      <c r="A24" s="163"/>
      <c r="B24" s="34"/>
      <c r="C24" s="41"/>
      <c r="D24" s="42"/>
      <c r="E24" s="43"/>
      <c r="F24" s="171"/>
      <c r="G24" s="171"/>
      <c r="H24" s="176"/>
      <c r="I24" s="177"/>
      <c r="J24" s="26"/>
      <c r="K24" s="26"/>
      <c r="L24" s="26"/>
      <c r="M24" s="26"/>
      <c r="N24" s="26"/>
      <c r="O24" s="26"/>
      <c r="P24" s="26"/>
      <c r="Q24" s="26"/>
      <c r="R24" s="26"/>
      <c r="S24" s="26"/>
      <c r="T24" s="26"/>
      <c r="U24" s="50"/>
      <c r="V24" s="51"/>
      <c r="W24" s="28"/>
      <c r="X24" s="30"/>
      <c r="Y24" s="60"/>
      <c r="Z24" s="61"/>
      <c r="AA24" s="168"/>
      <c r="AB24" s="169"/>
      <c r="AC24" s="70"/>
      <c r="AD24" s="71"/>
      <c r="AE24" s="71"/>
      <c r="AF24" s="72"/>
    </row>
    <row r="25" spans="1:45" ht="38.549999999999997" customHeight="1" thickBot="1"/>
    <row r="26" spans="1:45" ht="60" customHeight="1">
      <c r="B26" s="187" t="s">
        <v>16</v>
      </c>
      <c r="C26" s="189" t="s">
        <v>54</v>
      </c>
      <c r="D26" s="189"/>
      <c r="E26" s="189"/>
      <c r="F26" s="189"/>
      <c r="G26" s="189"/>
      <c r="H26" s="189"/>
      <c r="I26" s="189"/>
      <c r="J26" s="189"/>
      <c r="K26" s="189"/>
      <c r="L26" s="189"/>
      <c r="M26" s="190"/>
    </row>
    <row r="27" spans="1:45" ht="60" customHeight="1" thickBot="1">
      <c r="B27" s="208"/>
      <c r="C27" s="206"/>
      <c r="D27" s="206"/>
      <c r="E27" s="206"/>
      <c r="F27" s="206"/>
      <c r="G27" s="206"/>
      <c r="H27" s="206"/>
      <c r="I27" s="206"/>
      <c r="J27" s="206"/>
      <c r="K27" s="206"/>
      <c r="L27" s="206"/>
      <c r="M27" s="207"/>
    </row>
    <row r="28" spans="1:45" ht="60" customHeight="1">
      <c r="B28" s="187" t="s">
        <v>17</v>
      </c>
      <c r="C28" s="189" t="s">
        <v>55</v>
      </c>
      <c r="D28" s="189"/>
      <c r="E28" s="189"/>
      <c r="F28" s="189"/>
      <c r="G28" s="189"/>
      <c r="H28" s="189"/>
      <c r="I28" s="189"/>
      <c r="J28" s="189"/>
      <c r="K28" s="189"/>
      <c r="L28" s="189"/>
      <c r="M28" s="190"/>
    </row>
    <row r="29" spans="1:45" ht="60" customHeight="1" thickBot="1">
      <c r="B29" s="188"/>
      <c r="C29" s="191"/>
      <c r="D29" s="191"/>
      <c r="E29" s="191"/>
      <c r="F29" s="191"/>
      <c r="G29" s="191"/>
      <c r="H29" s="191"/>
      <c r="I29" s="191"/>
      <c r="J29" s="191"/>
      <c r="K29" s="191"/>
      <c r="L29" s="191"/>
      <c r="M29" s="192"/>
    </row>
    <row r="30" spans="1:45" ht="60" customHeight="1">
      <c r="B30" s="193" t="s">
        <v>18</v>
      </c>
      <c r="C30" s="196" t="s">
        <v>43</v>
      </c>
      <c r="D30" s="197"/>
      <c r="E30" s="197"/>
      <c r="F30" s="197"/>
      <c r="G30" s="197"/>
      <c r="H30" s="197"/>
      <c r="I30" s="197"/>
      <c r="J30" s="197"/>
      <c r="K30" s="197"/>
      <c r="L30" s="197"/>
      <c r="M30" s="198"/>
    </row>
    <row r="31" spans="1:45" ht="60" customHeight="1">
      <c r="B31" s="194"/>
      <c r="C31" s="199"/>
      <c r="D31" s="200"/>
      <c r="E31" s="200"/>
      <c r="F31" s="200"/>
      <c r="G31" s="200"/>
      <c r="H31" s="200"/>
      <c r="I31" s="200"/>
      <c r="J31" s="200"/>
      <c r="K31" s="200"/>
      <c r="L31" s="200"/>
      <c r="M31" s="201"/>
    </row>
    <row r="32" spans="1:45" ht="60" customHeight="1" thickBot="1">
      <c r="B32" s="195"/>
      <c r="C32" s="202"/>
      <c r="D32" s="203"/>
      <c r="E32" s="203"/>
      <c r="F32" s="203"/>
      <c r="G32" s="203"/>
      <c r="H32" s="203"/>
      <c r="I32" s="203"/>
      <c r="J32" s="203"/>
      <c r="K32" s="203"/>
      <c r="L32" s="203"/>
      <c r="M32" s="204"/>
    </row>
    <row r="33" spans="2:13" ht="60" customHeight="1">
      <c r="B33" s="193" t="s">
        <v>19</v>
      </c>
      <c r="C33" s="196" t="s">
        <v>42</v>
      </c>
      <c r="D33" s="197"/>
      <c r="E33" s="197"/>
      <c r="F33" s="197"/>
      <c r="G33" s="197"/>
      <c r="H33" s="197"/>
      <c r="I33" s="197"/>
      <c r="J33" s="197"/>
      <c r="K33" s="197"/>
      <c r="L33" s="197"/>
      <c r="M33" s="198"/>
    </row>
    <row r="34" spans="2:13" ht="60" customHeight="1" thickBot="1">
      <c r="B34" s="195"/>
      <c r="C34" s="202"/>
      <c r="D34" s="203"/>
      <c r="E34" s="203"/>
      <c r="F34" s="203"/>
      <c r="G34" s="203"/>
      <c r="H34" s="203"/>
      <c r="I34" s="203"/>
      <c r="J34" s="203"/>
      <c r="K34" s="203"/>
      <c r="L34" s="203"/>
      <c r="M34" s="204"/>
    </row>
    <row r="35" spans="2:13" ht="60" customHeight="1">
      <c r="B35" s="193" t="s">
        <v>23</v>
      </c>
      <c r="C35" s="196" t="s">
        <v>57</v>
      </c>
      <c r="D35" s="197"/>
      <c r="E35" s="197"/>
      <c r="F35" s="197"/>
      <c r="G35" s="197"/>
      <c r="H35" s="197"/>
      <c r="I35" s="197"/>
      <c r="J35" s="197"/>
      <c r="K35" s="197"/>
      <c r="L35" s="197"/>
      <c r="M35" s="198"/>
    </row>
    <row r="36" spans="2:13" ht="60" customHeight="1" thickBot="1">
      <c r="B36" s="195"/>
      <c r="C36" s="202"/>
      <c r="D36" s="203"/>
      <c r="E36" s="203"/>
      <c r="F36" s="203"/>
      <c r="G36" s="203"/>
      <c r="H36" s="203"/>
      <c r="I36" s="203"/>
      <c r="J36" s="203"/>
      <c r="K36" s="203"/>
      <c r="L36" s="203"/>
      <c r="M36" s="204"/>
    </row>
  </sheetData>
  <mergeCells count="163">
    <mergeCell ref="B26:B27"/>
    <mergeCell ref="C26:M27"/>
    <mergeCell ref="B28:B29"/>
    <mergeCell ref="C28:M29"/>
    <mergeCell ref="B30:B32"/>
    <mergeCell ref="C30:M32"/>
    <mergeCell ref="B33:B34"/>
    <mergeCell ref="C33:M34"/>
    <mergeCell ref="B35:B36"/>
    <mergeCell ref="C35:M36"/>
    <mergeCell ref="Q23:Q24"/>
    <mergeCell ref="J7:J8"/>
    <mergeCell ref="M17:M18"/>
    <mergeCell ref="N17:N18"/>
    <mergeCell ref="H17:H18"/>
    <mergeCell ref="I17:I18"/>
    <mergeCell ref="H19:H20"/>
    <mergeCell ref="I19:I20"/>
    <mergeCell ref="F17:G20"/>
    <mergeCell ref="J17:J18"/>
    <mergeCell ref="K17:K18"/>
    <mergeCell ref="L17:L18"/>
    <mergeCell ref="Y21:Z24"/>
    <mergeCell ref="AC21:AF24"/>
    <mergeCell ref="R21:R22"/>
    <mergeCell ref="S21:S22"/>
    <mergeCell ref="T21:T22"/>
    <mergeCell ref="R23:R24"/>
    <mergeCell ref="S23:S24"/>
    <mergeCell ref="T23:T24"/>
    <mergeCell ref="AA5:AB24"/>
    <mergeCell ref="AC5:AF8"/>
    <mergeCell ref="AC17:AF20"/>
    <mergeCell ref="R17:R18"/>
    <mergeCell ref="S17:S18"/>
    <mergeCell ref="T17:T18"/>
    <mergeCell ref="U17:V20"/>
    <mergeCell ref="W17:X20"/>
    <mergeCell ref="Y17:Z20"/>
    <mergeCell ref="F21:G24"/>
    <mergeCell ref="H21:I24"/>
    <mergeCell ref="J21:J22"/>
    <mergeCell ref="K21:K22"/>
    <mergeCell ref="L21:L22"/>
    <mergeCell ref="M21:M22"/>
    <mergeCell ref="N21:N22"/>
    <mergeCell ref="T15:T16"/>
    <mergeCell ref="L13:L14"/>
    <mergeCell ref="M13:M14"/>
    <mergeCell ref="N13:N14"/>
    <mergeCell ref="O13:O14"/>
    <mergeCell ref="P13:P14"/>
    <mergeCell ref="Q13:Q14"/>
    <mergeCell ref="J23:J24"/>
    <mergeCell ref="K23:K24"/>
    <mergeCell ref="L23:L24"/>
    <mergeCell ref="M23:M24"/>
    <mergeCell ref="N23:N24"/>
    <mergeCell ref="O23:O24"/>
    <mergeCell ref="O21:O22"/>
    <mergeCell ref="P21:P22"/>
    <mergeCell ref="Q21:Q22"/>
    <mergeCell ref="P23:P24"/>
    <mergeCell ref="Q17:Q18"/>
    <mergeCell ref="B17:B20"/>
    <mergeCell ref="C17:E20"/>
    <mergeCell ref="U21:V24"/>
    <mergeCell ref="W21:X24"/>
    <mergeCell ref="T9:T10"/>
    <mergeCell ref="J11:J12"/>
    <mergeCell ref="K11:K12"/>
    <mergeCell ref="C9:E12"/>
    <mergeCell ref="F9:G12"/>
    <mergeCell ref="H9:I12"/>
    <mergeCell ref="J9:J10"/>
    <mergeCell ref="K9:K10"/>
    <mergeCell ref="R11:R12"/>
    <mergeCell ref="B13:B16"/>
    <mergeCell ref="C13:E16"/>
    <mergeCell ref="F13:G16"/>
    <mergeCell ref="H13:I16"/>
    <mergeCell ref="R9:R10"/>
    <mergeCell ref="S9:S10"/>
    <mergeCell ref="O9:O10"/>
    <mergeCell ref="P9:P10"/>
    <mergeCell ref="B21:B24"/>
    <mergeCell ref="C21:E24"/>
    <mergeCell ref="AC13:AF16"/>
    <mergeCell ref="J15:J16"/>
    <mergeCell ref="K15:K16"/>
    <mergeCell ref="L15:L16"/>
    <mergeCell ref="M15:M16"/>
    <mergeCell ref="N15:N16"/>
    <mergeCell ref="O15:O16"/>
    <mergeCell ref="P15:P16"/>
    <mergeCell ref="Q15:Q16"/>
    <mergeCell ref="R15:R16"/>
    <mergeCell ref="R13:R14"/>
    <mergeCell ref="S13:S14"/>
    <mergeCell ref="T13:T14"/>
    <mergeCell ref="U13:V16"/>
    <mergeCell ref="W13:X16"/>
    <mergeCell ref="Y13:Z16"/>
    <mergeCell ref="J13:J14"/>
    <mergeCell ref="K13:K14"/>
    <mergeCell ref="S15:S16"/>
    <mergeCell ref="AC9:AF12"/>
    <mergeCell ref="AC2:AF4"/>
    <mergeCell ref="U2:V4"/>
    <mergeCell ref="W2:X4"/>
    <mergeCell ref="Y2:Z4"/>
    <mergeCell ref="AA2:AB4"/>
    <mergeCell ref="U5:V8"/>
    <mergeCell ref="W5:X8"/>
    <mergeCell ref="Y5:Z8"/>
    <mergeCell ref="U9:V12"/>
    <mergeCell ref="C2:E4"/>
    <mergeCell ref="F2:G4"/>
    <mergeCell ref="H2:I4"/>
    <mergeCell ref="J2:T4"/>
    <mergeCell ref="T7:T8"/>
    <mergeCell ref="L5:L6"/>
    <mergeCell ref="M5:M6"/>
    <mergeCell ref="K7:K8"/>
    <mergeCell ref="L7:L8"/>
    <mergeCell ref="M7:M8"/>
    <mergeCell ref="N7:N8"/>
    <mergeCell ref="O7:O8"/>
    <mergeCell ref="P7:P8"/>
    <mergeCell ref="T5:T6"/>
    <mergeCell ref="R7:R8"/>
    <mergeCell ref="S7:S8"/>
    <mergeCell ref="Q7:Q8"/>
    <mergeCell ref="R5:R6"/>
    <mergeCell ref="S5:S6"/>
    <mergeCell ref="N5:N6"/>
    <mergeCell ref="O5:O6"/>
    <mergeCell ref="P5:P6"/>
    <mergeCell ref="Q5:Q6"/>
    <mergeCell ref="W9:X12"/>
    <mergeCell ref="Y9:Z12"/>
    <mergeCell ref="S11:S12"/>
    <mergeCell ref="T11:T12"/>
    <mergeCell ref="L9:L10"/>
    <mergeCell ref="M9:M10"/>
    <mergeCell ref="N9:N10"/>
    <mergeCell ref="A5:A24"/>
    <mergeCell ref="B5:B8"/>
    <mergeCell ref="C5:E8"/>
    <mergeCell ref="F5:G8"/>
    <mergeCell ref="H5:I8"/>
    <mergeCell ref="J5:J6"/>
    <mergeCell ref="K5:K6"/>
    <mergeCell ref="B9:B12"/>
    <mergeCell ref="Q9:Q10"/>
    <mergeCell ref="L11:L12"/>
    <mergeCell ref="M11:M12"/>
    <mergeCell ref="N11:N12"/>
    <mergeCell ref="O11:O12"/>
    <mergeCell ref="P11:P12"/>
    <mergeCell ref="Q11:Q12"/>
    <mergeCell ref="O17:O18"/>
    <mergeCell ref="P17:P18"/>
  </mergeCells>
  <phoneticPr fontId="10"/>
  <conditionalFormatting sqref="W5:W6">
    <cfRule type="cellIs" dxfId="2" priority="1" stopIfTrue="1" operator="equal">
      <formula>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F23B3-FD65-4CB2-ACB1-A13215BFD154}">
  <dimension ref="A1:AS36"/>
  <sheetViews>
    <sheetView topLeftCell="A16" zoomScale="40" zoomScaleNormal="40" workbookViewId="0">
      <selection activeCell="T11" sqref="T11:T12"/>
    </sheetView>
  </sheetViews>
  <sheetFormatPr defaultColWidth="9" defaultRowHeight="38.549999999999997" customHeight="1"/>
  <cols>
    <col min="32" max="32" width="33.46484375" customWidth="1"/>
  </cols>
  <sheetData>
    <row r="1" spans="1:45" ht="38.549999999999997" customHeight="1" thickBot="1"/>
    <row r="2" spans="1:45" s="1" customFormat="1" ht="38.549999999999997" customHeight="1">
      <c r="C2" s="115" t="s">
        <v>0</v>
      </c>
      <c r="D2" s="116"/>
      <c r="E2" s="117"/>
      <c r="F2" s="124" t="s">
        <v>1</v>
      </c>
      <c r="G2" s="125"/>
      <c r="H2" s="128" t="s">
        <v>2</v>
      </c>
      <c r="I2" s="124"/>
      <c r="J2" s="133" t="s">
        <v>3</v>
      </c>
      <c r="K2" s="134"/>
      <c r="L2" s="134"/>
      <c r="M2" s="134"/>
      <c r="N2" s="134"/>
      <c r="O2" s="134"/>
      <c r="P2" s="134"/>
      <c r="Q2" s="134"/>
      <c r="R2" s="134"/>
      <c r="S2" s="134"/>
      <c r="T2" s="135"/>
      <c r="U2" s="148" t="s">
        <v>4</v>
      </c>
      <c r="V2" s="149"/>
      <c r="W2" s="152" t="s">
        <v>5</v>
      </c>
      <c r="X2" s="152"/>
      <c r="Y2" s="155" t="s">
        <v>6</v>
      </c>
      <c r="Z2" s="155"/>
      <c r="AA2" s="155" t="s">
        <v>7</v>
      </c>
      <c r="AB2" s="158"/>
      <c r="AC2" s="142" t="s">
        <v>8</v>
      </c>
      <c r="AD2" s="124"/>
      <c r="AE2" s="124"/>
      <c r="AF2" s="143"/>
    </row>
    <row r="3" spans="1:45" s="1" customFormat="1" ht="38.549999999999997" customHeight="1">
      <c r="C3" s="118"/>
      <c r="D3" s="119"/>
      <c r="E3" s="120"/>
      <c r="F3" s="119"/>
      <c r="G3" s="126"/>
      <c r="H3" s="129"/>
      <c r="I3" s="130"/>
      <c r="J3" s="136"/>
      <c r="K3" s="137"/>
      <c r="L3" s="137"/>
      <c r="M3" s="137"/>
      <c r="N3" s="137"/>
      <c r="O3" s="137"/>
      <c r="P3" s="137"/>
      <c r="Q3" s="137"/>
      <c r="R3" s="137"/>
      <c r="S3" s="137"/>
      <c r="T3" s="138"/>
      <c r="U3" s="150"/>
      <c r="V3" s="150"/>
      <c r="W3" s="153"/>
      <c r="X3" s="153"/>
      <c r="Y3" s="156"/>
      <c r="Z3" s="156"/>
      <c r="AA3" s="159"/>
      <c r="AB3" s="159"/>
      <c r="AC3" s="144"/>
      <c r="AD3" s="130"/>
      <c r="AE3" s="130"/>
      <c r="AF3" s="145"/>
    </row>
    <row r="4" spans="1:45" s="1" customFormat="1" ht="38.549999999999997" customHeight="1" thickBot="1">
      <c r="A4" s="3"/>
      <c r="B4" s="3"/>
      <c r="C4" s="121"/>
      <c r="D4" s="122"/>
      <c r="E4" s="123"/>
      <c r="F4" s="122"/>
      <c r="G4" s="127"/>
      <c r="H4" s="131"/>
      <c r="I4" s="132"/>
      <c r="J4" s="139"/>
      <c r="K4" s="140"/>
      <c r="L4" s="140"/>
      <c r="M4" s="140"/>
      <c r="N4" s="140"/>
      <c r="O4" s="140"/>
      <c r="P4" s="140"/>
      <c r="Q4" s="140"/>
      <c r="R4" s="140"/>
      <c r="S4" s="140"/>
      <c r="T4" s="141"/>
      <c r="U4" s="151"/>
      <c r="V4" s="151"/>
      <c r="W4" s="154"/>
      <c r="X4" s="154"/>
      <c r="Y4" s="157"/>
      <c r="Z4" s="157"/>
      <c r="AA4" s="160"/>
      <c r="AB4" s="160"/>
      <c r="AC4" s="146"/>
      <c r="AD4" s="132"/>
      <c r="AE4" s="132"/>
      <c r="AF4" s="147"/>
    </row>
    <row r="5" spans="1:45" s="2" customFormat="1" ht="38.549999999999997" customHeight="1">
      <c r="A5" s="161" t="s">
        <v>9</v>
      </c>
      <c r="B5" s="74" t="s">
        <v>10</v>
      </c>
      <c r="C5" s="98" t="s">
        <v>46</v>
      </c>
      <c r="D5" s="99"/>
      <c r="E5" s="100"/>
      <c r="F5" s="107" t="s">
        <v>47</v>
      </c>
      <c r="G5" s="108"/>
      <c r="H5" s="109"/>
      <c r="I5" s="110"/>
      <c r="J5" s="27">
        <v>0</v>
      </c>
      <c r="K5" s="25">
        <v>10</v>
      </c>
      <c r="L5" s="25">
        <v>20</v>
      </c>
      <c r="M5" s="25">
        <v>30</v>
      </c>
      <c r="N5" s="25">
        <v>40</v>
      </c>
      <c r="O5" s="25">
        <v>50</v>
      </c>
      <c r="P5" s="31">
        <v>60</v>
      </c>
      <c r="Q5" s="25">
        <v>70</v>
      </c>
      <c r="R5" s="25">
        <v>80</v>
      </c>
      <c r="S5" s="25">
        <v>90</v>
      </c>
      <c r="T5" s="25">
        <v>100</v>
      </c>
      <c r="U5" s="46"/>
      <c r="V5" s="47"/>
      <c r="W5" s="52">
        <v>0.1</v>
      </c>
      <c r="X5" s="53"/>
      <c r="Y5" s="56">
        <f>U5*W5</f>
        <v>0</v>
      </c>
      <c r="Z5" s="57"/>
      <c r="AA5" s="164">
        <f>SUM(Y5:Z24)</f>
        <v>0</v>
      </c>
      <c r="AB5" s="165"/>
      <c r="AC5" s="64"/>
      <c r="AD5" s="65"/>
      <c r="AE5" s="65"/>
      <c r="AF5" s="66"/>
    </row>
    <row r="6" spans="1:45" s="2" customFormat="1" ht="38.549999999999997" customHeight="1">
      <c r="A6" s="162"/>
      <c r="B6" s="75"/>
      <c r="C6" s="101"/>
      <c r="D6" s="102"/>
      <c r="E6" s="103"/>
      <c r="F6" s="45"/>
      <c r="G6" s="45"/>
      <c r="H6" s="111"/>
      <c r="I6" s="112"/>
      <c r="J6" s="28"/>
      <c r="K6" s="26"/>
      <c r="L6" s="26"/>
      <c r="M6" s="26"/>
      <c r="N6" s="26"/>
      <c r="O6" s="26"/>
      <c r="P6" s="26"/>
      <c r="Q6" s="26"/>
      <c r="R6" s="26"/>
      <c r="S6" s="26"/>
      <c r="T6" s="26"/>
      <c r="U6" s="48"/>
      <c r="V6" s="49"/>
      <c r="W6" s="54"/>
      <c r="X6" s="55"/>
      <c r="Y6" s="58"/>
      <c r="Z6" s="59"/>
      <c r="AA6" s="166"/>
      <c r="AB6" s="167"/>
      <c r="AC6" s="67"/>
      <c r="AD6" s="68"/>
      <c r="AE6" s="68"/>
      <c r="AF6" s="69"/>
    </row>
    <row r="7" spans="1:45" s="2" customFormat="1" ht="38.549999999999997" customHeight="1">
      <c r="A7" s="162"/>
      <c r="B7" s="75"/>
      <c r="C7" s="101"/>
      <c r="D7" s="102"/>
      <c r="E7" s="103"/>
      <c r="F7" s="45"/>
      <c r="G7" s="45"/>
      <c r="H7" s="111"/>
      <c r="I7" s="112"/>
      <c r="J7" s="62" t="s">
        <v>11</v>
      </c>
      <c r="K7" s="62">
        <v>75</v>
      </c>
      <c r="L7" s="62">
        <v>80</v>
      </c>
      <c r="M7" s="62">
        <v>85</v>
      </c>
      <c r="N7" s="62">
        <v>90</v>
      </c>
      <c r="O7" s="62">
        <v>95</v>
      </c>
      <c r="P7" s="86">
        <v>1</v>
      </c>
      <c r="Q7" s="62">
        <v>105</v>
      </c>
      <c r="R7" s="62">
        <v>110</v>
      </c>
      <c r="S7" s="62">
        <v>115</v>
      </c>
      <c r="T7" s="62" t="s">
        <v>12</v>
      </c>
      <c r="U7" s="48"/>
      <c r="V7" s="49"/>
      <c r="W7" s="54"/>
      <c r="X7" s="55"/>
      <c r="Y7" s="58"/>
      <c r="Z7" s="59"/>
      <c r="AA7" s="166"/>
      <c r="AB7" s="167"/>
      <c r="AC7" s="67"/>
      <c r="AD7" s="68"/>
      <c r="AE7" s="68"/>
      <c r="AF7" s="69"/>
    </row>
    <row r="8" spans="1:45" s="2" customFormat="1" ht="38.549999999999997" customHeight="1" thickBot="1">
      <c r="A8" s="162"/>
      <c r="B8" s="76"/>
      <c r="C8" s="104"/>
      <c r="D8" s="105"/>
      <c r="E8" s="106"/>
      <c r="F8" s="45"/>
      <c r="G8" s="45"/>
      <c r="H8" s="113"/>
      <c r="I8" s="114"/>
      <c r="J8" s="26"/>
      <c r="K8" s="26"/>
      <c r="L8" s="26"/>
      <c r="M8" s="26"/>
      <c r="N8" s="26"/>
      <c r="O8" s="26"/>
      <c r="P8" s="26"/>
      <c r="Q8" s="26"/>
      <c r="R8" s="26"/>
      <c r="S8" s="26"/>
      <c r="T8" s="26"/>
      <c r="U8" s="50"/>
      <c r="V8" s="51"/>
      <c r="W8" s="28"/>
      <c r="X8" s="30"/>
      <c r="Y8" s="60"/>
      <c r="Z8" s="61"/>
      <c r="AA8" s="166"/>
      <c r="AB8" s="167"/>
      <c r="AC8" s="67"/>
      <c r="AD8" s="68"/>
      <c r="AE8" s="68"/>
      <c r="AF8" s="69"/>
    </row>
    <row r="9" spans="1:45" s="2" customFormat="1" ht="38.549999999999997" customHeight="1">
      <c r="A9" s="162"/>
      <c r="B9" s="74" t="s">
        <v>13</v>
      </c>
      <c r="C9" s="35" t="s">
        <v>21</v>
      </c>
      <c r="D9" s="36"/>
      <c r="E9" s="37"/>
      <c r="F9" s="87" t="s">
        <v>48</v>
      </c>
      <c r="G9" s="88"/>
      <c r="H9" s="78"/>
      <c r="I9" s="89"/>
      <c r="J9" s="27">
        <v>0</v>
      </c>
      <c r="K9" s="25">
        <v>10</v>
      </c>
      <c r="L9" s="25">
        <v>20</v>
      </c>
      <c r="M9" s="27">
        <v>30</v>
      </c>
      <c r="N9" s="25">
        <v>40</v>
      </c>
      <c r="O9" s="29">
        <v>50</v>
      </c>
      <c r="P9" s="31">
        <v>60</v>
      </c>
      <c r="Q9" s="25">
        <v>70</v>
      </c>
      <c r="R9" s="25">
        <v>80</v>
      </c>
      <c r="S9" s="25">
        <v>90</v>
      </c>
      <c r="T9" s="25">
        <v>100</v>
      </c>
      <c r="U9" s="46"/>
      <c r="V9" s="47"/>
      <c r="W9" s="52">
        <v>0.35</v>
      </c>
      <c r="X9" s="53"/>
      <c r="Y9" s="94">
        <f>U9*W9</f>
        <v>0</v>
      </c>
      <c r="Z9" s="57"/>
      <c r="AA9" s="166"/>
      <c r="AB9" s="167"/>
      <c r="AC9" s="64"/>
      <c r="AD9" s="65"/>
      <c r="AE9" s="65"/>
      <c r="AF9" s="66"/>
    </row>
    <row r="10" spans="1:45" s="2" customFormat="1" ht="38.549999999999997" customHeight="1">
      <c r="A10" s="162"/>
      <c r="B10" s="75"/>
      <c r="C10" s="38"/>
      <c r="D10" s="39"/>
      <c r="E10" s="40"/>
      <c r="F10" s="88"/>
      <c r="G10" s="88"/>
      <c r="H10" s="80"/>
      <c r="I10" s="90"/>
      <c r="J10" s="28"/>
      <c r="K10" s="26"/>
      <c r="L10" s="26"/>
      <c r="M10" s="28"/>
      <c r="N10" s="26"/>
      <c r="O10" s="30"/>
      <c r="P10" s="26"/>
      <c r="Q10" s="26"/>
      <c r="R10" s="26"/>
      <c r="S10" s="26"/>
      <c r="T10" s="26"/>
      <c r="U10" s="48"/>
      <c r="V10" s="49"/>
      <c r="W10" s="54"/>
      <c r="X10" s="55"/>
      <c r="Y10" s="95"/>
      <c r="Z10" s="59"/>
      <c r="AA10" s="166"/>
      <c r="AB10" s="167"/>
      <c r="AC10" s="67"/>
      <c r="AD10" s="68"/>
      <c r="AE10" s="68"/>
      <c r="AF10" s="69"/>
    </row>
    <row r="11" spans="1:45" s="2" customFormat="1" ht="38.549999999999997" customHeight="1">
      <c r="A11" s="162"/>
      <c r="B11" s="75"/>
      <c r="C11" s="38"/>
      <c r="D11" s="39"/>
      <c r="E11" s="40"/>
      <c r="F11" s="88"/>
      <c r="G11" s="88"/>
      <c r="H11" s="80"/>
      <c r="I11" s="90"/>
      <c r="J11" s="62" t="s">
        <v>24</v>
      </c>
      <c r="K11" s="62">
        <v>50</v>
      </c>
      <c r="L11" s="62">
        <v>60</v>
      </c>
      <c r="M11" s="62">
        <v>70</v>
      </c>
      <c r="N11" s="62">
        <v>80</v>
      </c>
      <c r="O11" s="62">
        <v>90</v>
      </c>
      <c r="P11" s="86">
        <v>1</v>
      </c>
      <c r="Q11" s="62">
        <v>150</v>
      </c>
      <c r="R11" s="62">
        <v>200</v>
      </c>
      <c r="S11" s="62">
        <v>250</v>
      </c>
      <c r="T11" s="62" t="s">
        <v>25</v>
      </c>
      <c r="U11" s="92"/>
      <c r="V11" s="49"/>
      <c r="W11" s="54"/>
      <c r="X11" s="55"/>
      <c r="Y11" s="95"/>
      <c r="Z11" s="59"/>
      <c r="AA11" s="166"/>
      <c r="AB11" s="167"/>
      <c r="AC11" s="67"/>
      <c r="AD11" s="68"/>
      <c r="AE11" s="68"/>
      <c r="AF11" s="69"/>
    </row>
    <row r="12" spans="1:45" s="2" customFormat="1" ht="38.549999999999997" customHeight="1" thickBot="1">
      <c r="A12" s="162"/>
      <c r="B12" s="76"/>
      <c r="C12" s="41"/>
      <c r="D12" s="42"/>
      <c r="E12" s="43"/>
      <c r="F12" s="88"/>
      <c r="G12" s="88"/>
      <c r="H12" s="82"/>
      <c r="I12" s="91"/>
      <c r="J12" s="26"/>
      <c r="K12" s="26"/>
      <c r="L12" s="26"/>
      <c r="M12" s="26"/>
      <c r="N12" s="97"/>
      <c r="O12" s="26"/>
      <c r="P12" s="26"/>
      <c r="Q12" s="26"/>
      <c r="R12" s="26"/>
      <c r="S12" s="26"/>
      <c r="T12" s="26"/>
      <c r="U12" s="93"/>
      <c r="V12" s="51"/>
      <c r="W12" s="28"/>
      <c r="X12" s="30"/>
      <c r="Y12" s="96"/>
      <c r="Z12" s="61"/>
      <c r="AA12" s="166"/>
      <c r="AB12" s="167"/>
      <c r="AC12" s="67"/>
      <c r="AD12" s="68"/>
      <c r="AE12" s="68"/>
      <c r="AF12" s="69"/>
      <c r="AK12" s="4"/>
      <c r="AL12" s="4"/>
      <c r="AM12" s="4"/>
      <c r="AN12" s="4"/>
      <c r="AO12" s="4"/>
      <c r="AP12" s="4"/>
      <c r="AQ12" s="4"/>
      <c r="AR12" s="4"/>
      <c r="AS12" s="4"/>
    </row>
    <row r="13" spans="1:45" s="2" customFormat="1" ht="38.549999999999997" customHeight="1">
      <c r="A13" s="162"/>
      <c r="B13" s="74" t="s">
        <v>14</v>
      </c>
      <c r="C13" s="35" t="s">
        <v>49</v>
      </c>
      <c r="D13" s="36"/>
      <c r="E13" s="37"/>
      <c r="F13" s="44" t="s">
        <v>50</v>
      </c>
      <c r="G13" s="77"/>
      <c r="H13" s="78"/>
      <c r="I13" s="79"/>
      <c r="J13" s="27">
        <v>0</v>
      </c>
      <c r="K13" s="25">
        <v>10</v>
      </c>
      <c r="L13" s="25">
        <v>20</v>
      </c>
      <c r="M13" s="25">
        <v>30</v>
      </c>
      <c r="N13" s="73">
        <v>40</v>
      </c>
      <c r="O13" s="25">
        <v>50</v>
      </c>
      <c r="P13" s="31">
        <v>60</v>
      </c>
      <c r="Q13" s="25">
        <v>70</v>
      </c>
      <c r="R13" s="25">
        <v>80</v>
      </c>
      <c r="S13" s="25">
        <v>90</v>
      </c>
      <c r="T13" s="25">
        <v>100</v>
      </c>
      <c r="U13" s="46"/>
      <c r="V13" s="47"/>
      <c r="W13" s="52">
        <v>0.25</v>
      </c>
      <c r="X13" s="53"/>
      <c r="Y13" s="56">
        <f>U13*W13</f>
        <v>0</v>
      </c>
      <c r="Z13" s="57"/>
      <c r="AA13" s="166"/>
      <c r="AB13" s="167"/>
      <c r="AC13" s="64"/>
      <c r="AD13" s="65"/>
      <c r="AE13" s="65"/>
      <c r="AF13" s="66"/>
      <c r="AJ13" s="4"/>
      <c r="AK13" s="4"/>
      <c r="AL13" s="4"/>
      <c r="AM13" s="4"/>
      <c r="AN13" s="4"/>
      <c r="AO13" s="4"/>
      <c r="AP13" s="4"/>
      <c r="AQ13" s="4"/>
      <c r="AR13" s="4"/>
      <c r="AS13" s="4"/>
    </row>
    <row r="14" spans="1:45" s="2" customFormat="1" ht="38.549999999999997" customHeight="1">
      <c r="A14" s="162"/>
      <c r="B14" s="75"/>
      <c r="C14" s="38"/>
      <c r="D14" s="39"/>
      <c r="E14" s="40"/>
      <c r="F14" s="77"/>
      <c r="G14" s="77"/>
      <c r="H14" s="80"/>
      <c r="I14" s="81"/>
      <c r="J14" s="28"/>
      <c r="K14" s="26"/>
      <c r="L14" s="26"/>
      <c r="M14" s="26"/>
      <c r="N14" s="26"/>
      <c r="O14" s="26"/>
      <c r="P14" s="26"/>
      <c r="Q14" s="26"/>
      <c r="R14" s="26"/>
      <c r="S14" s="26"/>
      <c r="T14" s="26"/>
      <c r="U14" s="48"/>
      <c r="V14" s="49"/>
      <c r="W14" s="54"/>
      <c r="X14" s="55"/>
      <c r="Y14" s="58"/>
      <c r="Z14" s="59"/>
      <c r="AA14" s="166"/>
      <c r="AB14" s="167"/>
      <c r="AC14" s="67"/>
      <c r="AD14" s="68"/>
      <c r="AE14" s="68"/>
      <c r="AF14" s="69"/>
    </row>
    <row r="15" spans="1:45" s="2" customFormat="1" ht="38.549999999999997" customHeight="1">
      <c r="A15" s="162"/>
      <c r="B15" s="75"/>
      <c r="C15" s="38"/>
      <c r="D15" s="39"/>
      <c r="E15" s="40"/>
      <c r="F15" s="77"/>
      <c r="G15" s="77"/>
      <c r="H15" s="80"/>
      <c r="I15" s="81"/>
      <c r="J15" s="63">
        <v>0</v>
      </c>
      <c r="K15" s="62">
        <v>10</v>
      </c>
      <c r="L15" s="62">
        <v>20</v>
      </c>
      <c r="M15" s="62">
        <v>30</v>
      </c>
      <c r="N15" s="62">
        <v>40</v>
      </c>
      <c r="O15" s="62">
        <v>50</v>
      </c>
      <c r="P15" s="84">
        <v>0.6</v>
      </c>
      <c r="Q15" s="62">
        <v>70</v>
      </c>
      <c r="R15" s="62">
        <v>80</v>
      </c>
      <c r="S15" s="62">
        <v>90</v>
      </c>
      <c r="T15" s="63">
        <v>1</v>
      </c>
      <c r="U15" s="48"/>
      <c r="V15" s="49"/>
      <c r="W15" s="54"/>
      <c r="X15" s="55"/>
      <c r="Y15" s="58"/>
      <c r="Z15" s="59"/>
      <c r="AA15" s="166"/>
      <c r="AB15" s="167"/>
      <c r="AC15" s="67"/>
      <c r="AD15" s="68"/>
      <c r="AE15" s="68"/>
      <c r="AF15" s="69"/>
    </row>
    <row r="16" spans="1:45" s="2" customFormat="1" ht="38.549999999999997" customHeight="1" thickBot="1">
      <c r="A16" s="162"/>
      <c r="B16" s="76"/>
      <c r="C16" s="41"/>
      <c r="D16" s="42"/>
      <c r="E16" s="43"/>
      <c r="F16" s="77"/>
      <c r="G16" s="77"/>
      <c r="H16" s="82"/>
      <c r="I16" s="83"/>
      <c r="J16" s="26"/>
      <c r="K16" s="26"/>
      <c r="L16" s="26"/>
      <c r="M16" s="26"/>
      <c r="N16" s="26"/>
      <c r="O16" s="26"/>
      <c r="P16" s="85"/>
      <c r="Q16" s="26"/>
      <c r="R16" s="26"/>
      <c r="S16" s="26"/>
      <c r="T16" s="26"/>
      <c r="U16" s="50"/>
      <c r="V16" s="51"/>
      <c r="W16" s="28"/>
      <c r="X16" s="30"/>
      <c r="Y16" s="60"/>
      <c r="Z16" s="61"/>
      <c r="AA16" s="166"/>
      <c r="AB16" s="167"/>
      <c r="AC16" s="67"/>
      <c r="AD16" s="68"/>
      <c r="AE16" s="68"/>
      <c r="AF16" s="69"/>
    </row>
    <row r="17" spans="1:45" s="2" customFormat="1" ht="38.549999999999997" customHeight="1">
      <c r="A17" s="162"/>
      <c r="B17" s="32" t="s">
        <v>15</v>
      </c>
      <c r="C17" s="35" t="s">
        <v>22</v>
      </c>
      <c r="D17" s="36"/>
      <c r="E17" s="37"/>
      <c r="F17" s="44" t="s">
        <v>51</v>
      </c>
      <c r="G17" s="45"/>
      <c r="H17" s="180" t="s">
        <v>40</v>
      </c>
      <c r="I17" s="182"/>
      <c r="J17" s="27">
        <v>0</v>
      </c>
      <c r="K17" s="25">
        <v>10</v>
      </c>
      <c r="L17" s="25">
        <v>20</v>
      </c>
      <c r="M17" s="27">
        <v>30</v>
      </c>
      <c r="N17" s="25">
        <v>40</v>
      </c>
      <c r="O17" s="29">
        <v>50</v>
      </c>
      <c r="P17" s="31">
        <v>60</v>
      </c>
      <c r="Q17" s="25">
        <v>70</v>
      </c>
      <c r="R17" s="25">
        <v>80</v>
      </c>
      <c r="S17" s="25">
        <v>90</v>
      </c>
      <c r="T17" s="25">
        <v>100</v>
      </c>
      <c r="U17" s="46"/>
      <c r="V17" s="47"/>
      <c r="W17" s="52">
        <v>0.15</v>
      </c>
      <c r="X17" s="53"/>
      <c r="Y17" s="56">
        <f>U17*W17</f>
        <v>0</v>
      </c>
      <c r="Z17" s="57"/>
      <c r="AA17" s="166"/>
      <c r="AB17" s="167"/>
      <c r="AC17" s="64"/>
      <c r="AD17" s="65"/>
      <c r="AE17" s="65"/>
      <c r="AF17" s="66"/>
      <c r="AJ17" s="4"/>
      <c r="AK17" s="4"/>
      <c r="AL17" s="4"/>
      <c r="AM17" s="4"/>
      <c r="AN17" s="4"/>
      <c r="AO17" s="4"/>
      <c r="AP17" s="4"/>
      <c r="AQ17" s="4"/>
      <c r="AR17" s="4"/>
      <c r="AS17" s="4"/>
    </row>
    <row r="18" spans="1:45" s="2" customFormat="1" ht="38.549999999999997" customHeight="1">
      <c r="A18" s="162"/>
      <c r="B18" s="33"/>
      <c r="C18" s="38"/>
      <c r="D18" s="39"/>
      <c r="E18" s="40"/>
      <c r="F18" s="45"/>
      <c r="G18" s="45"/>
      <c r="H18" s="181"/>
      <c r="I18" s="183"/>
      <c r="J18" s="28"/>
      <c r="K18" s="26"/>
      <c r="L18" s="26"/>
      <c r="M18" s="28"/>
      <c r="N18" s="26"/>
      <c r="O18" s="30"/>
      <c r="P18" s="26"/>
      <c r="Q18" s="26"/>
      <c r="R18" s="26"/>
      <c r="S18" s="26"/>
      <c r="T18" s="26"/>
      <c r="U18" s="48"/>
      <c r="V18" s="49"/>
      <c r="W18" s="54"/>
      <c r="X18" s="55"/>
      <c r="Y18" s="58"/>
      <c r="Z18" s="59"/>
      <c r="AA18" s="166"/>
      <c r="AB18" s="167"/>
      <c r="AC18" s="67"/>
      <c r="AD18" s="68"/>
      <c r="AE18" s="68"/>
      <c r="AF18" s="69"/>
    </row>
    <row r="19" spans="1:45" s="2" customFormat="1" ht="38.549999999999997" customHeight="1">
      <c r="A19" s="162"/>
      <c r="B19" s="33"/>
      <c r="C19" s="38"/>
      <c r="D19" s="39"/>
      <c r="E19" s="40"/>
      <c r="F19" s="45"/>
      <c r="G19" s="45"/>
      <c r="H19" s="181" t="s">
        <v>41</v>
      </c>
      <c r="I19" s="185"/>
      <c r="J19" s="7">
        <v>0</v>
      </c>
      <c r="K19" s="8">
        <v>2</v>
      </c>
      <c r="L19" s="8">
        <v>4</v>
      </c>
      <c r="M19" s="8">
        <v>8</v>
      </c>
      <c r="N19" s="8">
        <v>12</v>
      </c>
      <c r="O19" s="8">
        <v>16</v>
      </c>
      <c r="P19" s="9">
        <v>40</v>
      </c>
      <c r="Q19" s="8">
        <v>50</v>
      </c>
      <c r="R19" s="8">
        <v>60</v>
      </c>
      <c r="S19" s="8">
        <v>70</v>
      </c>
      <c r="T19" s="8" t="s">
        <v>26</v>
      </c>
      <c r="U19" s="48"/>
      <c r="V19" s="49"/>
      <c r="W19" s="54"/>
      <c r="X19" s="55"/>
      <c r="Y19" s="58"/>
      <c r="Z19" s="59"/>
      <c r="AA19" s="166"/>
      <c r="AB19" s="167"/>
      <c r="AC19" s="67"/>
      <c r="AD19" s="68"/>
      <c r="AE19" s="68"/>
      <c r="AF19" s="69"/>
    </row>
    <row r="20" spans="1:45" s="2" customFormat="1" ht="38.549999999999997" customHeight="1" thickBot="1">
      <c r="A20" s="162"/>
      <c r="B20" s="34"/>
      <c r="C20" s="41"/>
      <c r="D20" s="42"/>
      <c r="E20" s="43"/>
      <c r="F20" s="45"/>
      <c r="G20" s="45"/>
      <c r="H20" s="184"/>
      <c r="I20" s="186"/>
      <c r="J20" s="10" t="s">
        <v>27</v>
      </c>
      <c r="K20" s="11" t="s">
        <v>28</v>
      </c>
      <c r="L20" s="11" t="s">
        <v>29</v>
      </c>
      <c r="M20" s="11" t="s">
        <v>30</v>
      </c>
      <c r="N20" s="11" t="s">
        <v>31</v>
      </c>
      <c r="O20" s="11" t="s">
        <v>32</v>
      </c>
      <c r="P20" s="12" t="s">
        <v>33</v>
      </c>
      <c r="Q20" s="11" t="s">
        <v>34</v>
      </c>
      <c r="R20" s="11" t="s">
        <v>35</v>
      </c>
      <c r="S20" s="11" t="s">
        <v>36</v>
      </c>
      <c r="T20" s="11" t="s">
        <v>37</v>
      </c>
      <c r="U20" s="50"/>
      <c r="V20" s="51"/>
      <c r="W20" s="28"/>
      <c r="X20" s="30"/>
      <c r="Y20" s="60"/>
      <c r="Z20" s="61"/>
      <c r="AA20" s="166"/>
      <c r="AB20" s="167"/>
      <c r="AC20" s="70"/>
      <c r="AD20" s="71"/>
      <c r="AE20" s="71"/>
      <c r="AF20" s="72"/>
    </row>
    <row r="21" spans="1:45" ht="38.549999999999997" customHeight="1">
      <c r="A21" s="162"/>
      <c r="B21" s="32" t="s">
        <v>23</v>
      </c>
      <c r="C21" s="35" t="s">
        <v>52</v>
      </c>
      <c r="D21" s="36"/>
      <c r="E21" s="37"/>
      <c r="F21" s="170" t="s">
        <v>53</v>
      </c>
      <c r="G21" s="171"/>
      <c r="H21" s="172"/>
      <c r="I21" s="173"/>
      <c r="J21" s="27">
        <v>0</v>
      </c>
      <c r="K21" s="25">
        <v>10</v>
      </c>
      <c r="L21" s="25">
        <v>20</v>
      </c>
      <c r="M21" s="25">
        <v>30</v>
      </c>
      <c r="N21" s="25">
        <v>40</v>
      </c>
      <c r="O21" s="25">
        <v>50</v>
      </c>
      <c r="P21" s="31">
        <v>60</v>
      </c>
      <c r="Q21" s="25">
        <v>70</v>
      </c>
      <c r="R21" s="25">
        <v>80</v>
      </c>
      <c r="S21" s="25">
        <v>90</v>
      </c>
      <c r="T21" s="25">
        <v>100</v>
      </c>
      <c r="U21" s="178"/>
      <c r="V21" s="179"/>
      <c r="W21" s="52">
        <v>0.15</v>
      </c>
      <c r="X21" s="53"/>
      <c r="Y21" s="56">
        <f>U21*W21</f>
        <v>0</v>
      </c>
      <c r="Z21" s="57"/>
      <c r="AA21" s="166"/>
      <c r="AB21" s="167"/>
      <c r="AC21" s="64"/>
      <c r="AD21" s="65"/>
      <c r="AE21" s="65"/>
      <c r="AF21" s="66"/>
    </row>
    <row r="22" spans="1:45" ht="38.549999999999997" customHeight="1">
      <c r="A22" s="162"/>
      <c r="B22" s="33"/>
      <c r="C22" s="38"/>
      <c r="D22" s="39"/>
      <c r="E22" s="40"/>
      <c r="F22" s="171"/>
      <c r="G22" s="171"/>
      <c r="H22" s="174"/>
      <c r="I22" s="175"/>
      <c r="J22" s="28"/>
      <c r="K22" s="26"/>
      <c r="L22" s="26"/>
      <c r="M22" s="26"/>
      <c r="N22" s="26"/>
      <c r="O22" s="26"/>
      <c r="P22" s="26"/>
      <c r="Q22" s="26"/>
      <c r="R22" s="26"/>
      <c r="S22" s="26"/>
      <c r="T22" s="26"/>
      <c r="U22" s="48"/>
      <c r="V22" s="49"/>
      <c r="W22" s="54"/>
      <c r="X22" s="55"/>
      <c r="Y22" s="58"/>
      <c r="Z22" s="59"/>
      <c r="AA22" s="166"/>
      <c r="AB22" s="167"/>
      <c r="AC22" s="67"/>
      <c r="AD22" s="68"/>
      <c r="AE22" s="68"/>
      <c r="AF22" s="69"/>
    </row>
    <row r="23" spans="1:45" ht="38.549999999999997" customHeight="1">
      <c r="A23" s="162"/>
      <c r="B23" s="33"/>
      <c r="C23" s="38"/>
      <c r="D23" s="39"/>
      <c r="E23" s="40"/>
      <c r="F23" s="171"/>
      <c r="G23" s="171"/>
      <c r="H23" s="174"/>
      <c r="I23" s="175"/>
      <c r="J23" s="62" t="s">
        <v>38</v>
      </c>
      <c r="K23" s="62">
        <v>10</v>
      </c>
      <c r="L23" s="62">
        <v>15</v>
      </c>
      <c r="M23" s="62">
        <v>20</v>
      </c>
      <c r="N23" s="62">
        <v>25</v>
      </c>
      <c r="O23" s="62">
        <v>30</v>
      </c>
      <c r="P23" s="205">
        <v>40</v>
      </c>
      <c r="Q23" s="62">
        <v>45</v>
      </c>
      <c r="R23" s="62">
        <v>50</v>
      </c>
      <c r="S23" s="62">
        <v>55</v>
      </c>
      <c r="T23" s="62" t="s">
        <v>39</v>
      </c>
      <c r="U23" s="48"/>
      <c r="V23" s="49"/>
      <c r="W23" s="54"/>
      <c r="X23" s="55"/>
      <c r="Y23" s="58"/>
      <c r="Z23" s="59"/>
      <c r="AA23" s="166"/>
      <c r="AB23" s="167"/>
      <c r="AC23" s="67"/>
      <c r="AD23" s="68"/>
      <c r="AE23" s="68"/>
      <c r="AF23" s="69"/>
    </row>
    <row r="24" spans="1:45" ht="38.549999999999997" customHeight="1" thickBot="1">
      <c r="A24" s="163"/>
      <c r="B24" s="34"/>
      <c r="C24" s="41"/>
      <c r="D24" s="42"/>
      <c r="E24" s="43"/>
      <c r="F24" s="171"/>
      <c r="G24" s="171"/>
      <c r="H24" s="176"/>
      <c r="I24" s="177"/>
      <c r="J24" s="26"/>
      <c r="K24" s="26"/>
      <c r="L24" s="26"/>
      <c r="M24" s="26"/>
      <c r="N24" s="26"/>
      <c r="O24" s="26"/>
      <c r="P24" s="26"/>
      <c r="Q24" s="26"/>
      <c r="R24" s="26"/>
      <c r="S24" s="26"/>
      <c r="T24" s="26"/>
      <c r="U24" s="50"/>
      <c r="V24" s="51"/>
      <c r="W24" s="28"/>
      <c r="X24" s="30"/>
      <c r="Y24" s="60"/>
      <c r="Z24" s="61"/>
      <c r="AA24" s="168"/>
      <c r="AB24" s="169"/>
      <c r="AC24" s="70"/>
      <c r="AD24" s="71"/>
      <c r="AE24" s="71"/>
      <c r="AF24" s="72"/>
    </row>
    <row r="25" spans="1:45" ht="38.549999999999997" customHeight="1" thickBot="1"/>
    <row r="26" spans="1:45" ht="60" customHeight="1">
      <c r="B26" s="187" t="s">
        <v>16</v>
      </c>
      <c r="C26" s="189" t="s">
        <v>54</v>
      </c>
      <c r="D26" s="189"/>
      <c r="E26" s="189"/>
      <c r="F26" s="189"/>
      <c r="G26" s="189"/>
      <c r="H26" s="189"/>
      <c r="I26" s="189"/>
      <c r="J26" s="189"/>
      <c r="K26" s="189"/>
      <c r="L26" s="189"/>
      <c r="M26" s="190"/>
    </row>
    <row r="27" spans="1:45" ht="60" customHeight="1" thickBot="1">
      <c r="B27" s="208"/>
      <c r="C27" s="206"/>
      <c r="D27" s="206"/>
      <c r="E27" s="206"/>
      <c r="F27" s="206"/>
      <c r="G27" s="206"/>
      <c r="H27" s="206"/>
      <c r="I27" s="206"/>
      <c r="J27" s="206"/>
      <c r="K27" s="206"/>
      <c r="L27" s="206"/>
      <c r="M27" s="207"/>
    </row>
    <row r="28" spans="1:45" ht="60" customHeight="1">
      <c r="B28" s="187" t="s">
        <v>17</v>
      </c>
      <c r="C28" s="189" t="s">
        <v>55</v>
      </c>
      <c r="D28" s="189"/>
      <c r="E28" s="189"/>
      <c r="F28" s="189"/>
      <c r="G28" s="189"/>
      <c r="H28" s="189"/>
      <c r="I28" s="189"/>
      <c r="J28" s="189"/>
      <c r="K28" s="189"/>
      <c r="L28" s="189"/>
      <c r="M28" s="190"/>
    </row>
    <row r="29" spans="1:45" ht="60" customHeight="1" thickBot="1">
      <c r="B29" s="188"/>
      <c r="C29" s="191"/>
      <c r="D29" s="191"/>
      <c r="E29" s="191"/>
      <c r="F29" s="191"/>
      <c r="G29" s="191"/>
      <c r="H29" s="191"/>
      <c r="I29" s="191"/>
      <c r="J29" s="191"/>
      <c r="K29" s="191"/>
      <c r="L29" s="191"/>
      <c r="M29" s="192"/>
    </row>
    <row r="30" spans="1:45" ht="60" customHeight="1">
      <c r="B30" s="193" t="s">
        <v>18</v>
      </c>
      <c r="C30" s="196" t="s">
        <v>43</v>
      </c>
      <c r="D30" s="197"/>
      <c r="E30" s="197"/>
      <c r="F30" s="197"/>
      <c r="G30" s="197"/>
      <c r="H30" s="197"/>
      <c r="I30" s="197"/>
      <c r="J30" s="197"/>
      <c r="K30" s="197"/>
      <c r="L30" s="197"/>
      <c r="M30" s="198"/>
    </row>
    <row r="31" spans="1:45" ht="60" customHeight="1">
      <c r="B31" s="194"/>
      <c r="C31" s="199"/>
      <c r="D31" s="200"/>
      <c r="E31" s="200"/>
      <c r="F31" s="200"/>
      <c r="G31" s="200"/>
      <c r="H31" s="200"/>
      <c r="I31" s="200"/>
      <c r="J31" s="200"/>
      <c r="K31" s="200"/>
      <c r="L31" s="200"/>
      <c r="M31" s="201"/>
    </row>
    <row r="32" spans="1:45" ht="60" customHeight="1" thickBot="1">
      <c r="B32" s="195"/>
      <c r="C32" s="202"/>
      <c r="D32" s="203"/>
      <c r="E32" s="203"/>
      <c r="F32" s="203"/>
      <c r="G32" s="203"/>
      <c r="H32" s="203"/>
      <c r="I32" s="203"/>
      <c r="J32" s="203"/>
      <c r="K32" s="203"/>
      <c r="L32" s="203"/>
      <c r="M32" s="204"/>
    </row>
    <row r="33" spans="2:13" ht="60" customHeight="1">
      <c r="B33" s="193" t="s">
        <v>19</v>
      </c>
      <c r="C33" s="196" t="s">
        <v>42</v>
      </c>
      <c r="D33" s="197"/>
      <c r="E33" s="197"/>
      <c r="F33" s="197"/>
      <c r="G33" s="197"/>
      <c r="H33" s="197"/>
      <c r="I33" s="197"/>
      <c r="J33" s="197"/>
      <c r="K33" s="197"/>
      <c r="L33" s="197"/>
      <c r="M33" s="198"/>
    </row>
    <row r="34" spans="2:13" ht="60" customHeight="1" thickBot="1">
      <c r="B34" s="195"/>
      <c r="C34" s="202"/>
      <c r="D34" s="203"/>
      <c r="E34" s="203"/>
      <c r="F34" s="203"/>
      <c r="G34" s="203"/>
      <c r="H34" s="203"/>
      <c r="I34" s="203"/>
      <c r="J34" s="203"/>
      <c r="K34" s="203"/>
      <c r="L34" s="203"/>
      <c r="M34" s="204"/>
    </row>
    <row r="35" spans="2:13" ht="60" customHeight="1">
      <c r="B35" s="193" t="s">
        <v>23</v>
      </c>
      <c r="C35" s="196" t="s">
        <v>57</v>
      </c>
      <c r="D35" s="197"/>
      <c r="E35" s="197"/>
      <c r="F35" s="197"/>
      <c r="G35" s="197"/>
      <c r="H35" s="197"/>
      <c r="I35" s="197"/>
      <c r="J35" s="197"/>
      <c r="K35" s="197"/>
      <c r="L35" s="197"/>
      <c r="M35" s="198"/>
    </row>
    <row r="36" spans="2:13" ht="60" customHeight="1" thickBot="1">
      <c r="B36" s="195"/>
      <c r="C36" s="202"/>
      <c r="D36" s="203"/>
      <c r="E36" s="203"/>
      <c r="F36" s="203"/>
      <c r="G36" s="203"/>
      <c r="H36" s="203"/>
      <c r="I36" s="203"/>
      <c r="J36" s="203"/>
      <c r="K36" s="203"/>
      <c r="L36" s="203"/>
      <c r="M36" s="204"/>
    </row>
  </sheetData>
  <mergeCells count="163">
    <mergeCell ref="B26:B27"/>
    <mergeCell ref="C26:M27"/>
    <mergeCell ref="B28:B29"/>
    <mergeCell ref="C28:M29"/>
    <mergeCell ref="B30:B32"/>
    <mergeCell ref="C30:M32"/>
    <mergeCell ref="B33:B34"/>
    <mergeCell ref="C33:M34"/>
    <mergeCell ref="B35:B36"/>
    <mergeCell ref="C35:M36"/>
    <mergeCell ref="Q23:Q24"/>
    <mergeCell ref="J7:J8"/>
    <mergeCell ref="M17:M18"/>
    <mergeCell ref="N17:N18"/>
    <mergeCell ref="H17:H18"/>
    <mergeCell ref="I17:I18"/>
    <mergeCell ref="H19:H20"/>
    <mergeCell ref="I19:I20"/>
    <mergeCell ref="F17:G20"/>
    <mergeCell ref="J17:J18"/>
    <mergeCell ref="K17:K18"/>
    <mergeCell ref="L17:L18"/>
    <mergeCell ref="Y21:Z24"/>
    <mergeCell ref="AC21:AF24"/>
    <mergeCell ref="R21:R22"/>
    <mergeCell ref="S21:S22"/>
    <mergeCell ref="T21:T22"/>
    <mergeCell ref="R23:R24"/>
    <mergeCell ref="S23:S24"/>
    <mergeCell ref="T23:T24"/>
    <mergeCell ref="AA5:AB24"/>
    <mergeCell ref="AC5:AF8"/>
    <mergeCell ref="AC17:AF20"/>
    <mergeCell ref="R17:R18"/>
    <mergeCell ref="S17:S18"/>
    <mergeCell ref="T17:T18"/>
    <mergeCell ref="U17:V20"/>
    <mergeCell ref="W17:X20"/>
    <mergeCell ref="Y17:Z20"/>
    <mergeCell ref="F21:G24"/>
    <mergeCell ref="H21:I24"/>
    <mergeCell ref="J21:J22"/>
    <mergeCell ref="K21:K22"/>
    <mergeCell ref="L21:L22"/>
    <mergeCell ref="M21:M22"/>
    <mergeCell ref="N21:N22"/>
    <mergeCell ref="T15:T16"/>
    <mergeCell ref="L13:L14"/>
    <mergeCell ref="M13:M14"/>
    <mergeCell ref="N13:N14"/>
    <mergeCell ref="O13:O14"/>
    <mergeCell ref="P13:P14"/>
    <mergeCell ref="Q13:Q14"/>
    <mergeCell ref="J23:J24"/>
    <mergeCell ref="K23:K24"/>
    <mergeCell ref="L23:L24"/>
    <mergeCell ref="M23:M24"/>
    <mergeCell ref="N23:N24"/>
    <mergeCell ref="O23:O24"/>
    <mergeCell ref="O21:O22"/>
    <mergeCell ref="P21:P22"/>
    <mergeCell ref="Q21:Q22"/>
    <mergeCell ref="P23:P24"/>
    <mergeCell ref="Q17:Q18"/>
    <mergeCell ref="B17:B20"/>
    <mergeCell ref="C17:E20"/>
    <mergeCell ref="U21:V24"/>
    <mergeCell ref="W21:X24"/>
    <mergeCell ref="T9:T10"/>
    <mergeCell ref="J11:J12"/>
    <mergeCell ref="K11:K12"/>
    <mergeCell ref="C9:E12"/>
    <mergeCell ref="F9:G12"/>
    <mergeCell ref="H9:I12"/>
    <mergeCell ref="J9:J10"/>
    <mergeCell ref="K9:K10"/>
    <mergeCell ref="R11:R12"/>
    <mergeCell ref="B13:B16"/>
    <mergeCell ref="C13:E16"/>
    <mergeCell ref="F13:G16"/>
    <mergeCell ref="H13:I16"/>
    <mergeCell ref="R9:R10"/>
    <mergeCell ref="S9:S10"/>
    <mergeCell ref="O9:O10"/>
    <mergeCell ref="P9:P10"/>
    <mergeCell ref="B21:B24"/>
    <mergeCell ref="C21:E24"/>
    <mergeCell ref="AC13:AF16"/>
    <mergeCell ref="J15:J16"/>
    <mergeCell ref="K15:K16"/>
    <mergeCell ref="L15:L16"/>
    <mergeCell ref="M15:M16"/>
    <mergeCell ref="N15:N16"/>
    <mergeCell ref="O15:O16"/>
    <mergeCell ref="P15:P16"/>
    <mergeCell ref="Q15:Q16"/>
    <mergeCell ref="R15:R16"/>
    <mergeCell ref="R13:R14"/>
    <mergeCell ref="S13:S14"/>
    <mergeCell ref="T13:T14"/>
    <mergeCell ref="U13:V16"/>
    <mergeCell ref="W13:X16"/>
    <mergeCell ref="Y13:Z16"/>
    <mergeCell ref="J13:J14"/>
    <mergeCell ref="K13:K14"/>
    <mergeCell ref="S15:S16"/>
    <mergeCell ref="AC9:AF12"/>
    <mergeCell ref="AC2:AF4"/>
    <mergeCell ref="U2:V4"/>
    <mergeCell ref="W2:X4"/>
    <mergeCell ref="Y2:Z4"/>
    <mergeCell ref="AA2:AB4"/>
    <mergeCell ref="U5:V8"/>
    <mergeCell ref="W5:X8"/>
    <mergeCell ref="Y5:Z8"/>
    <mergeCell ref="U9:V12"/>
    <mergeCell ref="C2:E4"/>
    <mergeCell ref="F2:G4"/>
    <mergeCell ref="H2:I4"/>
    <mergeCell ref="J2:T4"/>
    <mergeCell ref="T7:T8"/>
    <mergeCell ref="L5:L6"/>
    <mergeCell ref="M5:M6"/>
    <mergeCell ref="K7:K8"/>
    <mergeCell ref="L7:L8"/>
    <mergeCell ref="M7:M8"/>
    <mergeCell ref="N7:N8"/>
    <mergeCell ref="O7:O8"/>
    <mergeCell ref="P7:P8"/>
    <mergeCell ref="T5:T6"/>
    <mergeCell ref="R7:R8"/>
    <mergeCell ref="S7:S8"/>
    <mergeCell ref="Q7:Q8"/>
    <mergeCell ref="R5:R6"/>
    <mergeCell ref="S5:S6"/>
    <mergeCell ref="N5:N6"/>
    <mergeCell ref="O5:O6"/>
    <mergeCell ref="P5:P6"/>
    <mergeCell ref="Q5:Q6"/>
    <mergeCell ref="W9:X12"/>
    <mergeCell ref="Y9:Z12"/>
    <mergeCell ref="S11:S12"/>
    <mergeCell ref="T11:T12"/>
    <mergeCell ref="L9:L10"/>
    <mergeCell ref="M9:M10"/>
    <mergeCell ref="N9:N10"/>
    <mergeCell ref="A5:A24"/>
    <mergeCell ref="B5:B8"/>
    <mergeCell ref="C5:E8"/>
    <mergeCell ref="F5:G8"/>
    <mergeCell ref="H5:I8"/>
    <mergeCell ref="J5:J6"/>
    <mergeCell ref="K5:K6"/>
    <mergeCell ref="B9:B12"/>
    <mergeCell ref="Q9:Q10"/>
    <mergeCell ref="L11:L12"/>
    <mergeCell ref="M11:M12"/>
    <mergeCell ref="N11:N12"/>
    <mergeCell ref="O11:O12"/>
    <mergeCell ref="P11:P12"/>
    <mergeCell ref="Q11:Q12"/>
    <mergeCell ref="O17:O18"/>
    <mergeCell ref="P17:P18"/>
  </mergeCells>
  <phoneticPr fontId="10"/>
  <conditionalFormatting sqref="W5:W6">
    <cfRule type="cellIs" dxfId="1" priority="1" stopIfTrue="1" operator="equal">
      <formula>0</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EBC9B-F470-4C28-BDBE-C0C18B4E074E}">
  <dimension ref="A1:AS45"/>
  <sheetViews>
    <sheetView topLeftCell="A4" zoomScale="40" zoomScaleNormal="40" workbookViewId="0">
      <selection activeCell="V26" sqref="V26"/>
    </sheetView>
  </sheetViews>
  <sheetFormatPr defaultColWidth="9" defaultRowHeight="38.549999999999997" customHeight="1"/>
  <cols>
    <col min="9" max="9" width="11.9296875" bestFit="1" customWidth="1"/>
    <col min="32" max="32" width="33.46484375" customWidth="1"/>
  </cols>
  <sheetData>
    <row r="1" spans="1:45" ht="38.549999999999997" customHeight="1" thickBot="1">
      <c r="A1" s="5"/>
      <c r="B1" s="6" t="s">
        <v>20</v>
      </c>
    </row>
    <row r="2" spans="1:45" s="1" customFormat="1" ht="38.549999999999997" customHeight="1">
      <c r="C2" s="115" t="s">
        <v>0</v>
      </c>
      <c r="D2" s="116"/>
      <c r="E2" s="117"/>
      <c r="F2" s="124" t="s">
        <v>1</v>
      </c>
      <c r="G2" s="125"/>
      <c r="H2" s="128" t="s">
        <v>2</v>
      </c>
      <c r="I2" s="124"/>
      <c r="J2" s="133" t="s">
        <v>3</v>
      </c>
      <c r="K2" s="134"/>
      <c r="L2" s="134"/>
      <c r="M2" s="134"/>
      <c r="N2" s="134"/>
      <c r="O2" s="134"/>
      <c r="P2" s="134"/>
      <c r="Q2" s="134"/>
      <c r="R2" s="134"/>
      <c r="S2" s="134"/>
      <c r="T2" s="135"/>
      <c r="U2" s="148" t="s">
        <v>4</v>
      </c>
      <c r="V2" s="149"/>
      <c r="W2" s="152" t="s">
        <v>5</v>
      </c>
      <c r="X2" s="152"/>
      <c r="Y2" s="155" t="s">
        <v>6</v>
      </c>
      <c r="Z2" s="155"/>
      <c r="AA2" s="155" t="s">
        <v>7</v>
      </c>
      <c r="AB2" s="158"/>
      <c r="AC2" s="142" t="s">
        <v>8</v>
      </c>
      <c r="AD2" s="124"/>
      <c r="AE2" s="124"/>
      <c r="AF2" s="143"/>
    </row>
    <row r="3" spans="1:45" s="1" customFormat="1" ht="38.549999999999997" customHeight="1">
      <c r="C3" s="118"/>
      <c r="D3" s="119"/>
      <c r="E3" s="120"/>
      <c r="F3" s="119"/>
      <c r="G3" s="126"/>
      <c r="H3" s="129"/>
      <c r="I3" s="130"/>
      <c r="J3" s="136"/>
      <c r="K3" s="137"/>
      <c r="L3" s="137"/>
      <c r="M3" s="137"/>
      <c r="N3" s="137"/>
      <c r="O3" s="137"/>
      <c r="P3" s="137"/>
      <c r="Q3" s="137"/>
      <c r="R3" s="137"/>
      <c r="S3" s="137"/>
      <c r="T3" s="138"/>
      <c r="U3" s="150"/>
      <c r="V3" s="150"/>
      <c r="W3" s="153"/>
      <c r="X3" s="153"/>
      <c r="Y3" s="156"/>
      <c r="Z3" s="156"/>
      <c r="AA3" s="159"/>
      <c r="AB3" s="159"/>
      <c r="AC3" s="144"/>
      <c r="AD3" s="130"/>
      <c r="AE3" s="130"/>
      <c r="AF3" s="145"/>
    </row>
    <row r="4" spans="1:45" s="1" customFormat="1" ht="38.549999999999997" customHeight="1" thickBot="1">
      <c r="A4" s="3"/>
      <c r="B4" s="3"/>
      <c r="C4" s="121"/>
      <c r="D4" s="122"/>
      <c r="E4" s="123"/>
      <c r="F4" s="122"/>
      <c r="G4" s="127"/>
      <c r="H4" s="131"/>
      <c r="I4" s="132"/>
      <c r="J4" s="139"/>
      <c r="K4" s="140"/>
      <c r="L4" s="140"/>
      <c r="M4" s="140"/>
      <c r="N4" s="140"/>
      <c r="O4" s="140"/>
      <c r="P4" s="140"/>
      <c r="Q4" s="140"/>
      <c r="R4" s="140"/>
      <c r="S4" s="140"/>
      <c r="T4" s="141"/>
      <c r="U4" s="151"/>
      <c r="V4" s="151"/>
      <c r="W4" s="154"/>
      <c r="X4" s="154"/>
      <c r="Y4" s="157"/>
      <c r="Z4" s="157"/>
      <c r="AA4" s="160"/>
      <c r="AB4" s="160"/>
      <c r="AC4" s="146"/>
      <c r="AD4" s="132"/>
      <c r="AE4" s="132"/>
      <c r="AF4" s="147"/>
    </row>
    <row r="5" spans="1:45" s="2" customFormat="1" ht="38.549999999999997" customHeight="1">
      <c r="A5" s="161" t="s">
        <v>9</v>
      </c>
      <c r="B5" s="74" t="s">
        <v>10</v>
      </c>
      <c r="C5" s="98" t="s">
        <v>46</v>
      </c>
      <c r="D5" s="99"/>
      <c r="E5" s="100"/>
      <c r="F5" s="107" t="s">
        <v>47</v>
      </c>
      <c r="G5" s="108"/>
      <c r="H5" s="389">
        <f>SUM('4月'!H5+'5月'!H5+'6月'!H5)/3</f>
        <v>0</v>
      </c>
      <c r="I5" s="390"/>
      <c r="J5" s="27">
        <v>0</v>
      </c>
      <c r="K5" s="25">
        <v>10</v>
      </c>
      <c r="L5" s="25">
        <v>20</v>
      </c>
      <c r="M5" s="25">
        <v>30</v>
      </c>
      <c r="N5" s="25">
        <v>40</v>
      </c>
      <c r="O5" s="25">
        <v>50</v>
      </c>
      <c r="P5" s="31">
        <v>60</v>
      </c>
      <c r="Q5" s="25">
        <v>70</v>
      </c>
      <c r="R5" s="25">
        <v>80</v>
      </c>
      <c r="S5" s="25">
        <v>90</v>
      </c>
      <c r="T5" s="25">
        <v>100</v>
      </c>
      <c r="U5" s="46"/>
      <c r="V5" s="47"/>
      <c r="W5" s="52">
        <v>0.1</v>
      </c>
      <c r="X5" s="53"/>
      <c r="Y5" s="56">
        <f>U5*W5</f>
        <v>0</v>
      </c>
      <c r="Z5" s="57"/>
      <c r="AA5" s="164">
        <f>SUM(Y5:Z24)</f>
        <v>0</v>
      </c>
      <c r="AB5" s="165"/>
      <c r="AC5" s="64"/>
      <c r="AD5" s="65"/>
      <c r="AE5" s="65"/>
      <c r="AF5" s="66"/>
    </row>
    <row r="6" spans="1:45" s="2" customFormat="1" ht="38.549999999999997" customHeight="1">
      <c r="A6" s="162"/>
      <c r="B6" s="75"/>
      <c r="C6" s="101"/>
      <c r="D6" s="102"/>
      <c r="E6" s="103"/>
      <c r="F6" s="45"/>
      <c r="G6" s="45"/>
      <c r="H6" s="391"/>
      <c r="I6" s="392"/>
      <c r="J6" s="28"/>
      <c r="K6" s="26"/>
      <c r="L6" s="26"/>
      <c r="M6" s="26"/>
      <c r="N6" s="26"/>
      <c r="O6" s="26"/>
      <c r="P6" s="26"/>
      <c r="Q6" s="26"/>
      <c r="R6" s="26"/>
      <c r="S6" s="26"/>
      <c r="T6" s="26"/>
      <c r="U6" s="48"/>
      <c r="V6" s="49"/>
      <c r="W6" s="54"/>
      <c r="X6" s="55"/>
      <c r="Y6" s="58"/>
      <c r="Z6" s="59"/>
      <c r="AA6" s="166"/>
      <c r="AB6" s="167"/>
      <c r="AC6" s="67"/>
      <c r="AD6" s="68"/>
      <c r="AE6" s="68"/>
      <c r="AF6" s="69"/>
    </row>
    <row r="7" spans="1:45" s="2" customFormat="1" ht="38.549999999999997" customHeight="1">
      <c r="A7" s="162"/>
      <c r="B7" s="75"/>
      <c r="C7" s="101"/>
      <c r="D7" s="102"/>
      <c r="E7" s="103"/>
      <c r="F7" s="45"/>
      <c r="G7" s="45"/>
      <c r="H7" s="391"/>
      <c r="I7" s="392"/>
      <c r="J7" s="62" t="s">
        <v>11</v>
      </c>
      <c r="K7" s="62">
        <v>75</v>
      </c>
      <c r="L7" s="62">
        <v>80</v>
      </c>
      <c r="M7" s="62">
        <v>85</v>
      </c>
      <c r="N7" s="62">
        <v>90</v>
      </c>
      <c r="O7" s="62">
        <v>95</v>
      </c>
      <c r="P7" s="86">
        <v>1</v>
      </c>
      <c r="Q7" s="62">
        <v>105</v>
      </c>
      <c r="R7" s="62">
        <v>110</v>
      </c>
      <c r="S7" s="62">
        <v>115</v>
      </c>
      <c r="T7" s="62" t="s">
        <v>12</v>
      </c>
      <c r="U7" s="48"/>
      <c r="V7" s="49"/>
      <c r="W7" s="54"/>
      <c r="X7" s="55"/>
      <c r="Y7" s="58"/>
      <c r="Z7" s="59"/>
      <c r="AA7" s="166"/>
      <c r="AB7" s="167"/>
      <c r="AC7" s="67"/>
      <c r="AD7" s="68"/>
      <c r="AE7" s="68"/>
      <c r="AF7" s="69"/>
    </row>
    <row r="8" spans="1:45" s="2" customFormat="1" ht="38.549999999999997" customHeight="1" thickBot="1">
      <c r="A8" s="162"/>
      <c r="B8" s="76"/>
      <c r="C8" s="104"/>
      <c r="D8" s="105"/>
      <c r="E8" s="106"/>
      <c r="F8" s="45"/>
      <c r="G8" s="45"/>
      <c r="H8" s="393"/>
      <c r="I8" s="394"/>
      <c r="J8" s="26"/>
      <c r="K8" s="26"/>
      <c r="L8" s="26"/>
      <c r="M8" s="26"/>
      <c r="N8" s="26"/>
      <c r="O8" s="26"/>
      <c r="P8" s="26"/>
      <c r="Q8" s="26"/>
      <c r="R8" s="26"/>
      <c r="S8" s="26"/>
      <c r="T8" s="26"/>
      <c r="U8" s="50"/>
      <c r="V8" s="51"/>
      <c r="W8" s="28"/>
      <c r="X8" s="30"/>
      <c r="Y8" s="60"/>
      <c r="Z8" s="61"/>
      <c r="AA8" s="166"/>
      <c r="AB8" s="167"/>
      <c r="AC8" s="67"/>
      <c r="AD8" s="68"/>
      <c r="AE8" s="68"/>
      <c r="AF8" s="69"/>
    </row>
    <row r="9" spans="1:45" s="2" customFormat="1" ht="38.549999999999997" customHeight="1">
      <c r="A9" s="162"/>
      <c r="B9" s="74" t="s">
        <v>13</v>
      </c>
      <c r="C9" s="35" t="s">
        <v>21</v>
      </c>
      <c r="D9" s="36"/>
      <c r="E9" s="37"/>
      <c r="F9" s="87" t="s">
        <v>48</v>
      </c>
      <c r="G9" s="88"/>
      <c r="H9" s="395">
        <f>SUM('4月'!H9+'5月'!H9+'6月'!H9)/3</f>
        <v>0</v>
      </c>
      <c r="I9" s="396"/>
      <c r="J9" s="27">
        <v>0</v>
      </c>
      <c r="K9" s="25">
        <v>10</v>
      </c>
      <c r="L9" s="25">
        <v>20</v>
      </c>
      <c r="M9" s="27">
        <v>30</v>
      </c>
      <c r="N9" s="25">
        <v>40</v>
      </c>
      <c r="O9" s="29">
        <v>50</v>
      </c>
      <c r="P9" s="31">
        <v>60</v>
      </c>
      <c r="Q9" s="25">
        <v>70</v>
      </c>
      <c r="R9" s="25">
        <v>80</v>
      </c>
      <c r="S9" s="25">
        <v>90</v>
      </c>
      <c r="T9" s="25">
        <v>100</v>
      </c>
      <c r="U9" s="46"/>
      <c r="V9" s="47"/>
      <c r="W9" s="52">
        <v>0.35</v>
      </c>
      <c r="X9" s="53"/>
      <c r="Y9" s="94">
        <f>U9*W9</f>
        <v>0</v>
      </c>
      <c r="Z9" s="57"/>
      <c r="AA9" s="166"/>
      <c r="AB9" s="167"/>
      <c r="AC9" s="64"/>
      <c r="AD9" s="65"/>
      <c r="AE9" s="65"/>
      <c r="AF9" s="66"/>
    </row>
    <row r="10" spans="1:45" s="2" customFormat="1" ht="38.549999999999997" customHeight="1">
      <c r="A10" s="162"/>
      <c r="B10" s="75"/>
      <c r="C10" s="38"/>
      <c r="D10" s="39"/>
      <c r="E10" s="40"/>
      <c r="F10" s="88"/>
      <c r="G10" s="88"/>
      <c r="H10" s="397"/>
      <c r="I10" s="398"/>
      <c r="J10" s="28"/>
      <c r="K10" s="26"/>
      <c r="L10" s="26"/>
      <c r="M10" s="28"/>
      <c r="N10" s="26"/>
      <c r="O10" s="30"/>
      <c r="P10" s="26"/>
      <c r="Q10" s="26"/>
      <c r="R10" s="26"/>
      <c r="S10" s="26"/>
      <c r="T10" s="26"/>
      <c r="U10" s="48"/>
      <c r="V10" s="49"/>
      <c r="W10" s="54"/>
      <c r="X10" s="55"/>
      <c r="Y10" s="95"/>
      <c r="Z10" s="59"/>
      <c r="AA10" s="166"/>
      <c r="AB10" s="167"/>
      <c r="AC10" s="67"/>
      <c r="AD10" s="68"/>
      <c r="AE10" s="68"/>
      <c r="AF10" s="69"/>
    </row>
    <row r="11" spans="1:45" s="2" customFormat="1" ht="38.549999999999997" customHeight="1">
      <c r="A11" s="162"/>
      <c r="B11" s="75"/>
      <c r="C11" s="38"/>
      <c r="D11" s="39"/>
      <c r="E11" s="40"/>
      <c r="F11" s="88"/>
      <c r="G11" s="88"/>
      <c r="H11" s="397"/>
      <c r="I11" s="398"/>
      <c r="J11" s="62" t="s">
        <v>24</v>
      </c>
      <c r="K11" s="62">
        <v>50</v>
      </c>
      <c r="L11" s="62">
        <v>60</v>
      </c>
      <c r="M11" s="62">
        <v>70</v>
      </c>
      <c r="N11" s="62">
        <v>80</v>
      </c>
      <c r="O11" s="62">
        <v>90</v>
      </c>
      <c r="P11" s="86">
        <v>1</v>
      </c>
      <c r="Q11" s="62">
        <v>150</v>
      </c>
      <c r="R11" s="62">
        <v>200</v>
      </c>
      <c r="S11" s="62">
        <v>250</v>
      </c>
      <c r="T11" s="62" t="s">
        <v>25</v>
      </c>
      <c r="U11" s="92"/>
      <c r="V11" s="49"/>
      <c r="W11" s="54"/>
      <c r="X11" s="55"/>
      <c r="Y11" s="95"/>
      <c r="Z11" s="59"/>
      <c r="AA11" s="166"/>
      <c r="AB11" s="167"/>
      <c r="AC11" s="67"/>
      <c r="AD11" s="68"/>
      <c r="AE11" s="68"/>
      <c r="AF11" s="69"/>
    </row>
    <row r="12" spans="1:45" s="2" customFormat="1" ht="38.549999999999997" customHeight="1" thickBot="1">
      <c r="A12" s="162"/>
      <c r="B12" s="76"/>
      <c r="C12" s="41"/>
      <c r="D12" s="42"/>
      <c r="E12" s="43"/>
      <c r="F12" s="88"/>
      <c r="G12" s="88"/>
      <c r="H12" s="399"/>
      <c r="I12" s="400"/>
      <c r="J12" s="26"/>
      <c r="K12" s="26"/>
      <c r="L12" s="26"/>
      <c r="M12" s="26"/>
      <c r="N12" s="97"/>
      <c r="O12" s="26"/>
      <c r="P12" s="26"/>
      <c r="Q12" s="26"/>
      <c r="R12" s="26"/>
      <c r="S12" s="26"/>
      <c r="T12" s="26"/>
      <c r="U12" s="93"/>
      <c r="V12" s="51"/>
      <c r="W12" s="28"/>
      <c r="X12" s="30"/>
      <c r="Y12" s="96"/>
      <c r="Z12" s="61"/>
      <c r="AA12" s="166"/>
      <c r="AB12" s="167"/>
      <c r="AC12" s="67"/>
      <c r="AD12" s="68"/>
      <c r="AE12" s="68"/>
      <c r="AF12" s="69"/>
      <c r="AK12" s="4"/>
      <c r="AL12" s="4"/>
      <c r="AM12" s="4"/>
      <c r="AN12" s="4"/>
      <c r="AO12" s="4"/>
      <c r="AP12" s="4"/>
      <c r="AQ12" s="4"/>
      <c r="AR12" s="4"/>
      <c r="AS12" s="4"/>
    </row>
    <row r="13" spans="1:45" s="2" customFormat="1" ht="38.549999999999997" customHeight="1">
      <c r="A13" s="162"/>
      <c r="B13" s="74" t="s">
        <v>14</v>
      </c>
      <c r="C13" s="35" t="s">
        <v>49</v>
      </c>
      <c r="D13" s="36"/>
      <c r="E13" s="37"/>
      <c r="F13" s="44" t="s">
        <v>50</v>
      </c>
      <c r="G13" s="77"/>
      <c r="H13" s="395">
        <f>SUM('4月'!H13+'5月'!H13+'6月'!H13)/3</f>
        <v>0</v>
      </c>
      <c r="I13" s="396"/>
      <c r="J13" s="27">
        <v>0</v>
      </c>
      <c r="K13" s="25">
        <v>10</v>
      </c>
      <c r="L13" s="25">
        <v>20</v>
      </c>
      <c r="M13" s="25">
        <v>30</v>
      </c>
      <c r="N13" s="73">
        <v>40</v>
      </c>
      <c r="O13" s="25">
        <v>50</v>
      </c>
      <c r="P13" s="31">
        <v>60</v>
      </c>
      <c r="Q13" s="25">
        <v>70</v>
      </c>
      <c r="R13" s="25">
        <v>80</v>
      </c>
      <c r="S13" s="25">
        <v>90</v>
      </c>
      <c r="T13" s="25">
        <v>100</v>
      </c>
      <c r="U13" s="46"/>
      <c r="V13" s="47"/>
      <c r="W13" s="52">
        <v>0.25</v>
      </c>
      <c r="X13" s="53"/>
      <c r="Y13" s="56">
        <f>U13*W13</f>
        <v>0</v>
      </c>
      <c r="Z13" s="57"/>
      <c r="AA13" s="166"/>
      <c r="AB13" s="167"/>
      <c r="AC13" s="64"/>
      <c r="AD13" s="65"/>
      <c r="AE13" s="65"/>
      <c r="AF13" s="66"/>
      <c r="AJ13" s="4"/>
      <c r="AK13" s="4"/>
      <c r="AL13" s="4"/>
      <c r="AM13" s="4"/>
      <c r="AN13" s="4"/>
      <c r="AO13" s="4"/>
      <c r="AP13" s="4"/>
      <c r="AQ13" s="4"/>
      <c r="AR13" s="4"/>
      <c r="AS13" s="4"/>
    </row>
    <row r="14" spans="1:45" s="2" customFormat="1" ht="38.549999999999997" customHeight="1">
      <c r="A14" s="162"/>
      <c r="B14" s="75"/>
      <c r="C14" s="38"/>
      <c r="D14" s="39"/>
      <c r="E14" s="40"/>
      <c r="F14" s="77"/>
      <c r="G14" s="77"/>
      <c r="H14" s="397"/>
      <c r="I14" s="398"/>
      <c r="J14" s="28"/>
      <c r="K14" s="26"/>
      <c r="L14" s="26"/>
      <c r="M14" s="26"/>
      <c r="N14" s="26"/>
      <c r="O14" s="26"/>
      <c r="P14" s="26"/>
      <c r="Q14" s="26"/>
      <c r="R14" s="26"/>
      <c r="S14" s="26"/>
      <c r="T14" s="26"/>
      <c r="U14" s="48"/>
      <c r="V14" s="49"/>
      <c r="W14" s="54"/>
      <c r="X14" s="55"/>
      <c r="Y14" s="58"/>
      <c r="Z14" s="59"/>
      <c r="AA14" s="166"/>
      <c r="AB14" s="167"/>
      <c r="AC14" s="67"/>
      <c r="AD14" s="68"/>
      <c r="AE14" s="68"/>
      <c r="AF14" s="69"/>
    </row>
    <row r="15" spans="1:45" s="2" customFormat="1" ht="38.549999999999997" customHeight="1">
      <c r="A15" s="162"/>
      <c r="B15" s="75"/>
      <c r="C15" s="38"/>
      <c r="D15" s="39"/>
      <c r="E15" s="40"/>
      <c r="F15" s="77"/>
      <c r="G15" s="77"/>
      <c r="H15" s="397"/>
      <c r="I15" s="398"/>
      <c r="J15" s="63">
        <v>0</v>
      </c>
      <c r="K15" s="62">
        <v>10</v>
      </c>
      <c r="L15" s="62">
        <v>20</v>
      </c>
      <c r="M15" s="62">
        <v>30</v>
      </c>
      <c r="N15" s="62">
        <v>40</v>
      </c>
      <c r="O15" s="62">
        <v>50</v>
      </c>
      <c r="P15" s="84">
        <v>0.6</v>
      </c>
      <c r="Q15" s="62">
        <v>70</v>
      </c>
      <c r="R15" s="62">
        <v>80</v>
      </c>
      <c r="S15" s="62">
        <v>90</v>
      </c>
      <c r="T15" s="63">
        <v>1</v>
      </c>
      <c r="U15" s="48"/>
      <c r="V15" s="49"/>
      <c r="W15" s="54"/>
      <c r="X15" s="55"/>
      <c r="Y15" s="58"/>
      <c r="Z15" s="59"/>
      <c r="AA15" s="166"/>
      <c r="AB15" s="167"/>
      <c r="AC15" s="67"/>
      <c r="AD15" s="68"/>
      <c r="AE15" s="68"/>
      <c r="AF15" s="69"/>
    </row>
    <row r="16" spans="1:45" s="2" customFormat="1" ht="38.549999999999997" customHeight="1" thickBot="1">
      <c r="A16" s="162"/>
      <c r="B16" s="76"/>
      <c r="C16" s="41"/>
      <c r="D16" s="42"/>
      <c r="E16" s="43"/>
      <c r="F16" s="77"/>
      <c r="G16" s="77"/>
      <c r="H16" s="397"/>
      <c r="I16" s="398"/>
      <c r="J16" s="26"/>
      <c r="K16" s="26"/>
      <c r="L16" s="26"/>
      <c r="M16" s="26"/>
      <c r="N16" s="26"/>
      <c r="O16" s="26"/>
      <c r="P16" s="85"/>
      <c r="Q16" s="26"/>
      <c r="R16" s="26"/>
      <c r="S16" s="26"/>
      <c r="T16" s="26"/>
      <c r="U16" s="50"/>
      <c r="V16" s="51"/>
      <c r="W16" s="28"/>
      <c r="X16" s="30"/>
      <c r="Y16" s="60"/>
      <c r="Z16" s="61"/>
      <c r="AA16" s="166"/>
      <c r="AB16" s="167"/>
      <c r="AC16" s="67"/>
      <c r="AD16" s="68"/>
      <c r="AE16" s="68"/>
      <c r="AF16" s="69"/>
    </row>
    <row r="17" spans="1:45" s="2" customFormat="1" ht="38.549999999999997" customHeight="1">
      <c r="A17" s="162"/>
      <c r="B17" s="401" t="s">
        <v>15</v>
      </c>
      <c r="C17" s="35" t="s">
        <v>22</v>
      </c>
      <c r="D17" s="36"/>
      <c r="E17" s="37"/>
      <c r="F17" s="44" t="s">
        <v>51</v>
      </c>
      <c r="G17" s="45"/>
      <c r="H17" s="411" t="s">
        <v>40</v>
      </c>
      <c r="I17" s="414" cm="1">
        <f t="array" ref="I17">AVERAGE('4月'!I17:I18+'5月'!I17:I18+'6月'!I17:I18)</f>
        <v>0</v>
      </c>
      <c r="J17" s="404">
        <v>0</v>
      </c>
      <c r="K17" s="25">
        <v>10</v>
      </c>
      <c r="L17" s="25">
        <v>20</v>
      </c>
      <c r="M17" s="27">
        <v>30</v>
      </c>
      <c r="N17" s="25">
        <v>40</v>
      </c>
      <c r="O17" s="29">
        <v>50</v>
      </c>
      <c r="P17" s="31">
        <v>60</v>
      </c>
      <c r="Q17" s="25">
        <v>70</v>
      </c>
      <c r="R17" s="25">
        <v>80</v>
      </c>
      <c r="S17" s="25">
        <v>90</v>
      </c>
      <c r="T17" s="25">
        <v>100</v>
      </c>
      <c r="U17" s="46"/>
      <c r="V17" s="47"/>
      <c r="W17" s="52">
        <v>0.15</v>
      </c>
      <c r="X17" s="53"/>
      <c r="Y17" s="56">
        <f>U17*W17</f>
        <v>0</v>
      </c>
      <c r="Z17" s="57"/>
      <c r="AA17" s="166"/>
      <c r="AB17" s="167"/>
      <c r="AC17" s="64"/>
      <c r="AD17" s="65"/>
      <c r="AE17" s="65"/>
      <c r="AF17" s="66"/>
      <c r="AJ17" s="4"/>
      <c r="AK17" s="4"/>
      <c r="AL17" s="4"/>
      <c r="AM17" s="4"/>
      <c r="AN17" s="4"/>
      <c r="AO17" s="4"/>
      <c r="AP17" s="4"/>
      <c r="AQ17" s="4"/>
      <c r="AR17" s="4"/>
      <c r="AS17" s="4"/>
    </row>
    <row r="18" spans="1:45" s="2" customFormat="1" ht="38.549999999999997" customHeight="1" thickBot="1">
      <c r="A18" s="162"/>
      <c r="B18" s="402"/>
      <c r="C18" s="38"/>
      <c r="D18" s="39"/>
      <c r="E18" s="40"/>
      <c r="F18" s="45"/>
      <c r="G18" s="45"/>
      <c r="H18" s="412"/>
      <c r="I18" s="415"/>
      <c r="J18" s="405"/>
      <c r="K18" s="26"/>
      <c r="L18" s="26"/>
      <c r="M18" s="28"/>
      <c r="N18" s="26"/>
      <c r="O18" s="30"/>
      <c r="P18" s="26"/>
      <c r="Q18" s="26"/>
      <c r="R18" s="26"/>
      <c r="S18" s="26"/>
      <c r="T18" s="26"/>
      <c r="U18" s="48"/>
      <c r="V18" s="49"/>
      <c r="W18" s="54"/>
      <c r="X18" s="55"/>
      <c r="Y18" s="58"/>
      <c r="Z18" s="59"/>
      <c r="AA18" s="166"/>
      <c r="AB18" s="167"/>
      <c r="AC18" s="67"/>
      <c r="AD18" s="68"/>
      <c r="AE18" s="68"/>
      <c r="AF18" s="69"/>
    </row>
    <row r="19" spans="1:45" s="2" customFormat="1" ht="38.549999999999997" customHeight="1">
      <c r="A19" s="162"/>
      <c r="B19" s="402"/>
      <c r="C19" s="38"/>
      <c r="D19" s="39"/>
      <c r="E19" s="40"/>
      <c r="F19" s="45"/>
      <c r="G19" s="45"/>
      <c r="H19" s="412" t="s">
        <v>41</v>
      </c>
      <c r="I19" s="414" cm="1">
        <f t="array" ref="I19">AVERAGE('4月'!I19:I20+'5月'!I19:I20+'6月'!I19:I20)</f>
        <v>0</v>
      </c>
      <c r="J19" s="8">
        <v>0</v>
      </c>
      <c r="K19" s="8">
        <v>2</v>
      </c>
      <c r="L19" s="8">
        <v>4</v>
      </c>
      <c r="M19" s="8">
        <v>8</v>
      </c>
      <c r="N19" s="8">
        <v>12</v>
      </c>
      <c r="O19" s="8">
        <v>16</v>
      </c>
      <c r="P19" s="9">
        <v>40</v>
      </c>
      <c r="Q19" s="8">
        <v>50</v>
      </c>
      <c r="R19" s="8">
        <v>60</v>
      </c>
      <c r="S19" s="8">
        <v>70</v>
      </c>
      <c r="T19" s="8" t="s">
        <v>26</v>
      </c>
      <c r="U19" s="48"/>
      <c r="V19" s="49"/>
      <c r="W19" s="54"/>
      <c r="X19" s="55"/>
      <c r="Y19" s="58"/>
      <c r="Z19" s="59"/>
      <c r="AA19" s="166"/>
      <c r="AB19" s="167"/>
      <c r="AC19" s="67"/>
      <c r="AD19" s="68"/>
      <c r="AE19" s="68"/>
      <c r="AF19" s="69"/>
    </row>
    <row r="20" spans="1:45" s="2" customFormat="1" ht="38.549999999999997" customHeight="1" thickBot="1">
      <c r="A20" s="162"/>
      <c r="B20" s="403"/>
      <c r="C20" s="41"/>
      <c r="D20" s="42"/>
      <c r="E20" s="43"/>
      <c r="F20" s="45"/>
      <c r="G20" s="45"/>
      <c r="H20" s="413"/>
      <c r="I20" s="415"/>
      <c r="J20" s="11" t="s">
        <v>27</v>
      </c>
      <c r="K20" s="11" t="s">
        <v>28</v>
      </c>
      <c r="L20" s="11" t="s">
        <v>29</v>
      </c>
      <c r="M20" s="11" t="s">
        <v>30</v>
      </c>
      <c r="N20" s="11" t="s">
        <v>31</v>
      </c>
      <c r="O20" s="11" t="s">
        <v>32</v>
      </c>
      <c r="P20" s="12" t="s">
        <v>33</v>
      </c>
      <c r="Q20" s="11" t="s">
        <v>34</v>
      </c>
      <c r="R20" s="11" t="s">
        <v>35</v>
      </c>
      <c r="S20" s="11" t="s">
        <v>36</v>
      </c>
      <c r="T20" s="11" t="s">
        <v>37</v>
      </c>
      <c r="U20" s="50"/>
      <c r="V20" s="51"/>
      <c r="W20" s="28"/>
      <c r="X20" s="30"/>
      <c r="Y20" s="60"/>
      <c r="Z20" s="61"/>
      <c r="AA20" s="166"/>
      <c r="AB20" s="167"/>
      <c r="AC20" s="70"/>
      <c r="AD20" s="71"/>
      <c r="AE20" s="71"/>
      <c r="AF20" s="72"/>
    </row>
    <row r="21" spans="1:45" ht="38.549999999999997" customHeight="1">
      <c r="A21" s="162"/>
      <c r="B21" s="406" t="s">
        <v>23</v>
      </c>
      <c r="C21" s="35" t="s">
        <v>52</v>
      </c>
      <c r="D21" s="36"/>
      <c r="E21" s="37"/>
      <c r="F21" s="170" t="s">
        <v>53</v>
      </c>
      <c r="G21" s="171"/>
      <c r="H21" s="416">
        <f>SUM('4月'!H21+'5月'!H21+'6月'!H21)/3</f>
        <v>0</v>
      </c>
      <c r="I21" s="417"/>
      <c r="J21" s="27">
        <v>0</v>
      </c>
      <c r="K21" s="25">
        <v>10</v>
      </c>
      <c r="L21" s="25">
        <v>20</v>
      </c>
      <c r="M21" s="25">
        <v>30</v>
      </c>
      <c r="N21" s="25">
        <v>40</v>
      </c>
      <c r="O21" s="25">
        <v>50</v>
      </c>
      <c r="P21" s="31">
        <v>60</v>
      </c>
      <c r="Q21" s="25">
        <v>70</v>
      </c>
      <c r="R21" s="25">
        <v>80</v>
      </c>
      <c r="S21" s="25">
        <v>90</v>
      </c>
      <c r="T21" s="25">
        <v>100</v>
      </c>
      <c r="U21" s="178"/>
      <c r="V21" s="179"/>
      <c r="W21" s="52">
        <v>0.15</v>
      </c>
      <c r="X21" s="53"/>
      <c r="Y21" s="58">
        <f>U21*W21</f>
        <v>0</v>
      </c>
      <c r="Z21" s="58"/>
      <c r="AA21" s="166"/>
      <c r="AB21" s="167"/>
      <c r="AC21" s="64"/>
      <c r="AD21" s="65"/>
      <c r="AE21" s="65"/>
      <c r="AF21" s="66"/>
    </row>
    <row r="22" spans="1:45" ht="38.549999999999997" customHeight="1">
      <c r="A22" s="162"/>
      <c r="B22" s="407"/>
      <c r="C22" s="38"/>
      <c r="D22" s="39"/>
      <c r="E22" s="40"/>
      <c r="F22" s="171"/>
      <c r="G22" s="171"/>
      <c r="H22" s="416"/>
      <c r="I22" s="417"/>
      <c r="J22" s="28"/>
      <c r="K22" s="26"/>
      <c r="L22" s="26"/>
      <c r="M22" s="26"/>
      <c r="N22" s="26"/>
      <c r="O22" s="26"/>
      <c r="P22" s="26"/>
      <c r="Q22" s="26"/>
      <c r="R22" s="26"/>
      <c r="S22" s="26"/>
      <c r="T22" s="26"/>
      <c r="U22" s="48"/>
      <c r="V22" s="49"/>
      <c r="W22" s="54"/>
      <c r="X22" s="55"/>
      <c r="Y22" s="58"/>
      <c r="Z22" s="58"/>
      <c r="AA22" s="166"/>
      <c r="AB22" s="167"/>
      <c r="AC22" s="67"/>
      <c r="AD22" s="68"/>
      <c r="AE22" s="68"/>
      <c r="AF22" s="69"/>
    </row>
    <row r="23" spans="1:45" ht="38.549999999999997" customHeight="1">
      <c r="A23" s="162"/>
      <c r="B23" s="407"/>
      <c r="C23" s="38"/>
      <c r="D23" s="39"/>
      <c r="E23" s="40"/>
      <c r="F23" s="171"/>
      <c r="G23" s="171"/>
      <c r="H23" s="416"/>
      <c r="I23" s="417"/>
      <c r="J23" s="62" t="s">
        <v>38</v>
      </c>
      <c r="K23" s="62">
        <v>10</v>
      </c>
      <c r="L23" s="62">
        <v>15</v>
      </c>
      <c r="M23" s="62">
        <v>20</v>
      </c>
      <c r="N23" s="62">
        <v>25</v>
      </c>
      <c r="O23" s="62">
        <v>30</v>
      </c>
      <c r="P23" s="205">
        <v>40</v>
      </c>
      <c r="Q23" s="62">
        <v>45</v>
      </c>
      <c r="R23" s="62">
        <v>50</v>
      </c>
      <c r="S23" s="62">
        <v>55</v>
      </c>
      <c r="T23" s="62" t="s">
        <v>39</v>
      </c>
      <c r="U23" s="48"/>
      <c r="V23" s="49"/>
      <c r="W23" s="54"/>
      <c r="X23" s="55"/>
      <c r="Y23" s="58"/>
      <c r="Z23" s="58"/>
      <c r="AA23" s="166"/>
      <c r="AB23" s="167"/>
      <c r="AC23" s="67"/>
      <c r="AD23" s="68"/>
      <c r="AE23" s="68"/>
      <c r="AF23" s="69"/>
    </row>
    <row r="24" spans="1:45" ht="38.549999999999997" customHeight="1" thickBot="1">
      <c r="A24" s="163"/>
      <c r="B24" s="408"/>
      <c r="C24" s="41"/>
      <c r="D24" s="42"/>
      <c r="E24" s="43"/>
      <c r="F24" s="171"/>
      <c r="G24" s="171"/>
      <c r="H24" s="418"/>
      <c r="I24" s="419"/>
      <c r="J24" s="26"/>
      <c r="K24" s="26"/>
      <c r="L24" s="26"/>
      <c r="M24" s="26"/>
      <c r="N24" s="26"/>
      <c r="O24" s="26"/>
      <c r="P24" s="26"/>
      <c r="Q24" s="26"/>
      <c r="R24" s="26"/>
      <c r="S24" s="26"/>
      <c r="T24" s="26"/>
      <c r="U24" s="50"/>
      <c r="V24" s="51"/>
      <c r="W24" s="28"/>
      <c r="X24" s="30"/>
      <c r="Y24" s="60"/>
      <c r="Z24" s="60"/>
      <c r="AA24" s="168"/>
      <c r="AB24" s="169"/>
      <c r="AC24" s="70"/>
      <c r="AD24" s="71"/>
      <c r="AE24" s="71"/>
      <c r="AF24" s="72"/>
    </row>
    <row r="25" spans="1:45" ht="38.549999999999997" customHeight="1" thickBot="1">
      <c r="O25" s="14"/>
      <c r="P25" s="15"/>
    </row>
    <row r="26" spans="1:45" ht="60" customHeight="1" thickBot="1">
      <c r="B26" s="187" t="s">
        <v>16</v>
      </c>
      <c r="C26" s="189" t="s">
        <v>54</v>
      </c>
      <c r="D26" s="189"/>
      <c r="E26" s="189"/>
      <c r="F26" s="189"/>
      <c r="G26" s="189"/>
      <c r="H26" s="189"/>
      <c r="I26" s="189"/>
      <c r="J26" s="189"/>
      <c r="K26" s="189"/>
      <c r="L26" s="189"/>
      <c r="M26" s="190"/>
      <c r="O26" s="409" t="s">
        <v>44</v>
      </c>
      <c r="P26" s="410"/>
      <c r="Q26" s="16" t="s">
        <v>79</v>
      </c>
      <c r="R26" s="17">
        <f>SUM('4月'!AA5:AB24)</f>
        <v>0</v>
      </c>
      <c r="S26" s="16" t="s">
        <v>80</v>
      </c>
      <c r="T26" s="17">
        <f>SUM('5月'!AA5:AB24)</f>
        <v>0</v>
      </c>
      <c r="U26" s="16" t="s">
        <v>81</v>
      </c>
      <c r="V26" s="17">
        <f>SUM('6月'!AA5:AB24)</f>
        <v>0</v>
      </c>
      <c r="W26" s="18" t="s">
        <v>45</v>
      </c>
      <c r="X26" s="17">
        <f>SUM(R26+T26+V26)</f>
        <v>0</v>
      </c>
    </row>
    <row r="27" spans="1:45" ht="60" customHeight="1" thickBot="1">
      <c r="B27" s="208"/>
      <c r="C27" s="206"/>
      <c r="D27" s="206"/>
      <c r="E27" s="206"/>
      <c r="F27" s="206"/>
      <c r="G27" s="206"/>
      <c r="H27" s="206"/>
      <c r="I27" s="206"/>
      <c r="J27" s="206"/>
      <c r="K27" s="206"/>
      <c r="L27" s="206"/>
      <c r="M27" s="207"/>
    </row>
    <row r="28" spans="1:45" ht="60" customHeight="1">
      <c r="B28" s="187" t="s">
        <v>17</v>
      </c>
      <c r="C28" s="189" t="s">
        <v>55</v>
      </c>
      <c r="D28" s="189"/>
      <c r="E28" s="189"/>
      <c r="F28" s="189"/>
      <c r="G28" s="189"/>
      <c r="H28" s="189"/>
      <c r="I28" s="189"/>
      <c r="J28" s="189"/>
      <c r="K28" s="189"/>
      <c r="L28" s="189"/>
      <c r="M28" s="190"/>
    </row>
    <row r="29" spans="1:45" ht="60" customHeight="1" thickBot="1">
      <c r="B29" s="188"/>
      <c r="C29" s="191"/>
      <c r="D29" s="191"/>
      <c r="E29" s="191"/>
      <c r="F29" s="191"/>
      <c r="G29" s="191"/>
      <c r="H29" s="191"/>
      <c r="I29" s="191"/>
      <c r="J29" s="191"/>
      <c r="K29" s="191"/>
      <c r="L29" s="191"/>
      <c r="M29" s="192"/>
      <c r="R29" s="13"/>
      <c r="S29" s="13"/>
      <c r="T29" s="13"/>
      <c r="U29" s="13"/>
      <c r="V29" s="13"/>
      <c r="W29" s="13"/>
      <c r="X29" s="13"/>
      <c r="Y29" s="13"/>
      <c r="Z29" s="13"/>
      <c r="AA29" s="13"/>
      <c r="AB29" s="13"/>
      <c r="AC29" s="13"/>
    </row>
    <row r="30" spans="1:45" ht="60" customHeight="1">
      <c r="B30" s="193" t="s">
        <v>18</v>
      </c>
      <c r="C30" s="196" t="s">
        <v>43</v>
      </c>
      <c r="D30" s="197"/>
      <c r="E30" s="197"/>
      <c r="F30" s="197"/>
      <c r="G30" s="197"/>
      <c r="H30" s="197"/>
      <c r="I30" s="197"/>
      <c r="J30" s="197"/>
      <c r="K30" s="197"/>
      <c r="L30" s="197"/>
      <c r="M30" s="198"/>
      <c r="R30" s="13"/>
      <c r="S30" s="13"/>
      <c r="T30" s="13"/>
      <c r="U30" s="13"/>
      <c r="V30" s="13"/>
      <c r="W30" s="13"/>
      <c r="X30" s="13"/>
      <c r="Y30" s="13"/>
      <c r="Z30" s="13"/>
      <c r="AA30" s="13"/>
      <c r="AB30" s="13"/>
      <c r="AC30" s="13"/>
    </row>
    <row r="31" spans="1:45" ht="60" customHeight="1">
      <c r="B31" s="194"/>
      <c r="C31" s="199"/>
      <c r="D31" s="200"/>
      <c r="E31" s="200"/>
      <c r="F31" s="200"/>
      <c r="G31" s="200"/>
      <c r="H31" s="200"/>
      <c r="I31" s="200"/>
      <c r="J31" s="200"/>
      <c r="K31" s="200"/>
      <c r="L31" s="200"/>
      <c r="M31" s="201"/>
      <c r="R31" s="13"/>
      <c r="S31" s="13"/>
      <c r="T31" s="13"/>
      <c r="U31" s="13"/>
      <c r="V31" s="13"/>
      <c r="W31" s="13"/>
      <c r="X31" s="13"/>
      <c r="Y31" s="13"/>
      <c r="Z31" s="13"/>
      <c r="AA31" s="13"/>
      <c r="AB31" s="13"/>
      <c r="AC31" s="13"/>
    </row>
    <row r="32" spans="1:45" ht="60" customHeight="1" thickBot="1">
      <c r="B32" s="195"/>
      <c r="C32" s="202"/>
      <c r="D32" s="203"/>
      <c r="E32" s="203"/>
      <c r="F32" s="203"/>
      <c r="G32" s="203"/>
      <c r="H32" s="203"/>
      <c r="I32" s="203"/>
      <c r="J32" s="203"/>
      <c r="K32" s="203"/>
      <c r="L32" s="203"/>
      <c r="M32" s="204"/>
      <c r="R32" s="13"/>
      <c r="S32" s="13"/>
      <c r="T32" s="13"/>
      <c r="U32" s="13"/>
      <c r="V32" s="13"/>
      <c r="W32" s="13"/>
      <c r="X32" s="13"/>
      <c r="Y32" s="13"/>
      <c r="Z32" s="13"/>
      <c r="AA32" s="13"/>
      <c r="AB32" s="13"/>
      <c r="AC32" s="13"/>
    </row>
    <row r="33" spans="2:29" ht="60" customHeight="1">
      <c r="B33" s="193" t="s">
        <v>19</v>
      </c>
      <c r="C33" s="196" t="s">
        <v>42</v>
      </c>
      <c r="D33" s="197"/>
      <c r="E33" s="197"/>
      <c r="F33" s="197"/>
      <c r="G33" s="197"/>
      <c r="H33" s="197"/>
      <c r="I33" s="197"/>
      <c r="J33" s="197"/>
      <c r="K33" s="197"/>
      <c r="L33" s="197"/>
      <c r="M33" s="198"/>
      <c r="R33" s="13"/>
      <c r="S33" s="13"/>
      <c r="T33" s="13"/>
      <c r="U33" s="13"/>
      <c r="V33" s="13"/>
      <c r="W33" s="13"/>
      <c r="X33" s="13"/>
      <c r="Y33" s="13"/>
      <c r="Z33" s="13"/>
      <c r="AA33" s="13"/>
      <c r="AB33" s="13"/>
      <c r="AC33" s="13"/>
    </row>
    <row r="34" spans="2:29" ht="60" customHeight="1" thickBot="1">
      <c r="B34" s="195"/>
      <c r="C34" s="202"/>
      <c r="D34" s="203"/>
      <c r="E34" s="203"/>
      <c r="F34" s="203"/>
      <c r="G34" s="203"/>
      <c r="H34" s="203"/>
      <c r="I34" s="203"/>
      <c r="J34" s="203"/>
      <c r="K34" s="203"/>
      <c r="L34" s="203"/>
      <c r="M34" s="204"/>
      <c r="R34" s="13"/>
      <c r="S34" s="13"/>
      <c r="T34" s="13"/>
      <c r="U34" s="13"/>
      <c r="V34" s="13"/>
      <c r="W34" s="13"/>
      <c r="X34" s="13"/>
      <c r="Y34" s="13"/>
      <c r="Z34" s="13"/>
      <c r="AA34" s="13"/>
      <c r="AB34" s="13"/>
      <c r="AC34" s="13"/>
    </row>
    <row r="35" spans="2:29" ht="60" customHeight="1">
      <c r="B35" s="193" t="s">
        <v>23</v>
      </c>
      <c r="C35" s="196" t="s">
        <v>57</v>
      </c>
      <c r="D35" s="197"/>
      <c r="E35" s="197"/>
      <c r="F35" s="197"/>
      <c r="G35" s="197"/>
      <c r="H35" s="197"/>
      <c r="I35" s="197"/>
      <c r="J35" s="197"/>
      <c r="K35" s="197"/>
      <c r="L35" s="197"/>
      <c r="M35" s="198"/>
      <c r="R35" s="13"/>
      <c r="S35" s="13"/>
      <c r="T35" s="13"/>
      <c r="U35" s="13"/>
      <c r="V35" s="13"/>
      <c r="W35" s="13"/>
      <c r="X35" s="13"/>
      <c r="Y35" s="13"/>
      <c r="Z35" s="13"/>
      <c r="AA35" s="13"/>
      <c r="AB35" s="13"/>
      <c r="AC35" s="13"/>
    </row>
    <row r="36" spans="2:29" ht="60" customHeight="1" thickBot="1">
      <c r="B36" s="195"/>
      <c r="C36" s="202"/>
      <c r="D36" s="203"/>
      <c r="E36" s="203"/>
      <c r="F36" s="203"/>
      <c r="G36" s="203"/>
      <c r="H36" s="203"/>
      <c r="I36" s="203"/>
      <c r="J36" s="203"/>
      <c r="K36" s="203"/>
      <c r="L36" s="203"/>
      <c r="M36" s="204"/>
      <c r="R36" s="13"/>
      <c r="S36" s="13"/>
      <c r="T36" s="13"/>
      <c r="U36" s="13"/>
      <c r="V36" s="13"/>
      <c r="W36" s="13"/>
      <c r="X36" s="13"/>
      <c r="Y36" s="13"/>
      <c r="Z36" s="13"/>
      <c r="AA36" s="13"/>
      <c r="AB36" s="13"/>
      <c r="AC36" s="13"/>
    </row>
    <row r="37" spans="2:29" ht="38.549999999999997" customHeight="1">
      <c r="B37" s="13"/>
      <c r="C37" s="19"/>
      <c r="D37" s="19"/>
      <c r="E37" s="19"/>
      <c r="F37" s="19"/>
      <c r="G37" s="19"/>
      <c r="H37" s="19"/>
      <c r="I37" s="19"/>
      <c r="J37" s="19"/>
      <c r="K37" s="19"/>
      <c r="L37" s="19"/>
      <c r="M37" s="19"/>
      <c r="R37" s="13"/>
      <c r="S37" s="13"/>
      <c r="T37" s="13"/>
      <c r="U37" s="13"/>
      <c r="V37" s="13"/>
      <c r="W37" s="13"/>
      <c r="X37" s="13"/>
      <c r="Y37" s="13"/>
      <c r="Z37" s="13"/>
      <c r="AA37" s="13"/>
      <c r="AB37" s="13"/>
      <c r="AC37" s="13"/>
    </row>
    <row r="38" spans="2:29" ht="38.549999999999997" customHeight="1">
      <c r="B38" s="13"/>
      <c r="C38" s="19"/>
      <c r="D38" s="19"/>
      <c r="E38" s="19"/>
      <c r="F38" s="19"/>
      <c r="G38" s="19"/>
      <c r="H38" s="19"/>
      <c r="I38" s="19"/>
      <c r="J38" s="19"/>
      <c r="K38" s="19"/>
      <c r="L38" s="19"/>
      <c r="M38" s="19"/>
      <c r="R38" s="13"/>
      <c r="S38" s="13"/>
      <c r="T38" s="13"/>
      <c r="U38" s="13"/>
      <c r="V38" s="13"/>
      <c r="W38" s="13"/>
      <c r="X38" s="13"/>
      <c r="Y38" s="13"/>
      <c r="Z38" s="13"/>
      <c r="AA38" s="13"/>
      <c r="AB38" s="13"/>
      <c r="AC38" s="13"/>
    </row>
    <row r="39" spans="2:29" ht="38.549999999999997" customHeight="1">
      <c r="B39" s="13"/>
      <c r="C39" s="19"/>
      <c r="D39" s="19"/>
      <c r="E39" s="19"/>
      <c r="F39" s="19"/>
      <c r="G39" s="19"/>
      <c r="H39" s="19"/>
      <c r="I39" s="19"/>
      <c r="J39" s="19"/>
      <c r="K39" s="19"/>
      <c r="L39" s="19"/>
      <c r="M39" s="19"/>
      <c r="R39" s="13"/>
      <c r="S39" s="13"/>
      <c r="T39" s="13"/>
      <c r="U39" s="13"/>
      <c r="V39" s="13"/>
      <c r="W39" s="13"/>
      <c r="X39" s="13"/>
      <c r="Y39" s="13"/>
      <c r="Z39" s="13"/>
      <c r="AA39" s="13"/>
      <c r="AB39" s="13"/>
      <c r="AC39" s="13"/>
    </row>
    <row r="40" spans="2:29" ht="38.549999999999997" customHeight="1">
      <c r="R40" s="13"/>
      <c r="S40" s="13"/>
      <c r="T40" s="13"/>
      <c r="U40" s="13"/>
      <c r="V40" s="13"/>
      <c r="W40" s="13"/>
      <c r="X40" s="13"/>
      <c r="Y40" s="13"/>
      <c r="Z40" s="13"/>
      <c r="AA40" s="13"/>
      <c r="AB40" s="13"/>
      <c r="AC40" s="13"/>
    </row>
    <row r="41" spans="2:29" ht="38.549999999999997" customHeight="1">
      <c r="R41" s="13"/>
      <c r="S41" s="13"/>
      <c r="T41" s="13"/>
      <c r="U41" s="13"/>
      <c r="V41" s="13"/>
      <c r="W41" s="13"/>
      <c r="X41" s="13"/>
      <c r="Y41" s="13"/>
      <c r="Z41" s="13"/>
      <c r="AA41" s="13"/>
      <c r="AB41" s="13"/>
      <c r="AC41" s="13"/>
    </row>
    <row r="42" spans="2:29" ht="38.549999999999997" customHeight="1">
      <c r="R42" s="13"/>
      <c r="S42" s="13"/>
      <c r="T42" s="13"/>
      <c r="U42" s="13"/>
      <c r="V42" s="13"/>
      <c r="W42" s="13"/>
      <c r="X42" s="13"/>
      <c r="Y42" s="13"/>
      <c r="Z42" s="13"/>
      <c r="AA42" s="13"/>
      <c r="AB42" s="13"/>
      <c r="AC42" s="13"/>
    </row>
    <row r="43" spans="2:29" ht="38.549999999999997" customHeight="1">
      <c r="R43" s="13"/>
      <c r="S43" s="13"/>
      <c r="T43" s="13"/>
      <c r="U43" s="13"/>
      <c r="V43" s="13"/>
      <c r="W43" s="13"/>
      <c r="X43" s="13"/>
      <c r="Y43" s="13"/>
      <c r="Z43" s="13"/>
      <c r="AA43" s="13"/>
      <c r="AB43" s="13"/>
      <c r="AC43" s="13"/>
    </row>
    <row r="44" spans="2:29" ht="38.549999999999997" customHeight="1">
      <c r="R44" s="13"/>
      <c r="S44" s="13"/>
      <c r="T44" s="13"/>
      <c r="U44" s="13"/>
      <c r="V44" s="13"/>
      <c r="W44" s="13"/>
      <c r="X44" s="13"/>
      <c r="Y44" s="13"/>
      <c r="Z44" s="13"/>
      <c r="AA44" s="13"/>
      <c r="AB44" s="13"/>
      <c r="AC44" s="13"/>
    </row>
    <row r="45" spans="2:29" ht="38.549999999999997" customHeight="1">
      <c r="R45" s="13"/>
      <c r="S45" s="13"/>
      <c r="T45" s="13"/>
      <c r="U45" s="13"/>
      <c r="V45" s="13"/>
      <c r="W45" s="13"/>
      <c r="X45" s="13"/>
      <c r="Y45" s="13"/>
      <c r="Z45" s="13"/>
      <c r="AA45" s="13"/>
      <c r="AB45" s="13"/>
      <c r="AC45" s="13"/>
    </row>
  </sheetData>
  <mergeCells count="164">
    <mergeCell ref="A5:A24"/>
    <mergeCell ref="H17:H18"/>
    <mergeCell ref="H19:H20"/>
    <mergeCell ref="I17:I18"/>
    <mergeCell ref="I19:I20"/>
    <mergeCell ref="P21:P22"/>
    <mergeCell ref="M5:M6"/>
    <mergeCell ref="N5:N6"/>
    <mergeCell ref="O5:O6"/>
    <mergeCell ref="L13:L14"/>
    <mergeCell ref="B13:B16"/>
    <mergeCell ref="C13:E16"/>
    <mergeCell ref="F13:G16"/>
    <mergeCell ref="H13:I16"/>
    <mergeCell ref="J13:J14"/>
    <mergeCell ref="K13:K14"/>
    <mergeCell ref="H21:I24"/>
    <mergeCell ref="J21:J22"/>
    <mergeCell ref="K21:K22"/>
    <mergeCell ref="L21:L22"/>
    <mergeCell ref="B28:B29"/>
    <mergeCell ref="C28:M29"/>
    <mergeCell ref="B30:B32"/>
    <mergeCell ref="C30:M32"/>
    <mergeCell ref="B33:B34"/>
    <mergeCell ref="C33:M34"/>
    <mergeCell ref="B35:B36"/>
    <mergeCell ref="C35:M36"/>
    <mergeCell ref="U21:V24"/>
    <mergeCell ref="C26:M27"/>
    <mergeCell ref="O26:P26"/>
    <mergeCell ref="B26:B27"/>
    <mergeCell ref="Q21:Q22"/>
    <mergeCell ref="R21:R22"/>
    <mergeCell ref="W21:X24"/>
    <mergeCell ref="T21:T22"/>
    <mergeCell ref="B17:B20"/>
    <mergeCell ref="C17:E20"/>
    <mergeCell ref="F17:G20"/>
    <mergeCell ref="J17:J18"/>
    <mergeCell ref="K17:K18"/>
    <mergeCell ref="P23:P24"/>
    <mergeCell ref="Q23:Q24"/>
    <mergeCell ref="R23:R24"/>
    <mergeCell ref="S23:S24"/>
    <mergeCell ref="B21:B24"/>
    <mergeCell ref="L17:L18"/>
    <mergeCell ref="S21:S22"/>
    <mergeCell ref="J23:J24"/>
    <mergeCell ref="K23:K24"/>
    <mergeCell ref="L23:L24"/>
    <mergeCell ref="M23:M24"/>
    <mergeCell ref="N23:N24"/>
    <mergeCell ref="O23:O24"/>
    <mergeCell ref="T23:T24"/>
    <mergeCell ref="C21:E24"/>
    <mergeCell ref="F21:G24"/>
    <mergeCell ref="AC17:AF20"/>
    <mergeCell ref="R17:R18"/>
    <mergeCell ref="S17:S18"/>
    <mergeCell ref="T17:T18"/>
    <mergeCell ref="U17:V20"/>
    <mergeCell ref="W17:X20"/>
    <mergeCell ref="Y17:Z20"/>
    <mergeCell ref="M21:M22"/>
    <mergeCell ref="N21:N22"/>
    <mergeCell ref="O21:O22"/>
    <mergeCell ref="Y21:Z24"/>
    <mergeCell ref="AA5:AB24"/>
    <mergeCell ref="AC21:AF24"/>
    <mergeCell ref="T15:T16"/>
    <mergeCell ref="M13:M14"/>
    <mergeCell ref="N13:N14"/>
    <mergeCell ref="O13:O14"/>
    <mergeCell ref="P13:P14"/>
    <mergeCell ref="Q13:Q14"/>
    <mergeCell ref="M17:M18"/>
    <mergeCell ref="N17:N18"/>
    <mergeCell ref="O17:O18"/>
    <mergeCell ref="P17:P18"/>
    <mergeCell ref="Q17:Q18"/>
    <mergeCell ref="T9:T10"/>
    <mergeCell ref="J11:J12"/>
    <mergeCell ref="K11:K12"/>
    <mergeCell ref="C9:E12"/>
    <mergeCell ref="F9:G12"/>
    <mergeCell ref="H9:I12"/>
    <mergeCell ref="J9:J10"/>
    <mergeCell ref="K9:K10"/>
    <mergeCell ref="AC13:AF16"/>
    <mergeCell ref="J15:J16"/>
    <mergeCell ref="K15:K16"/>
    <mergeCell ref="L15:L16"/>
    <mergeCell ref="M15:M16"/>
    <mergeCell ref="N15:N16"/>
    <mergeCell ref="O15:O16"/>
    <mergeCell ref="P15:P16"/>
    <mergeCell ref="Q15:Q16"/>
    <mergeCell ref="R15:R16"/>
    <mergeCell ref="R13:R14"/>
    <mergeCell ref="S13:S14"/>
    <mergeCell ref="T13:T14"/>
    <mergeCell ref="U13:V16"/>
    <mergeCell ref="W13:X16"/>
    <mergeCell ref="Y13:Z16"/>
    <mergeCell ref="S9:S10"/>
    <mergeCell ref="S15:S16"/>
    <mergeCell ref="L9:L10"/>
    <mergeCell ref="M9:M10"/>
    <mergeCell ref="N9:N10"/>
    <mergeCell ref="O9:O10"/>
    <mergeCell ref="P9:P10"/>
    <mergeCell ref="Q9:Q10"/>
    <mergeCell ref="L11:L12"/>
    <mergeCell ref="M11:M12"/>
    <mergeCell ref="N11:N12"/>
    <mergeCell ref="O11:O12"/>
    <mergeCell ref="P11:P12"/>
    <mergeCell ref="Q11:Q12"/>
    <mergeCell ref="R9:R10"/>
    <mergeCell ref="R11:R12"/>
    <mergeCell ref="AC5:AF8"/>
    <mergeCell ref="J7:J8"/>
    <mergeCell ref="K7:K8"/>
    <mergeCell ref="L7:L8"/>
    <mergeCell ref="M7:M8"/>
    <mergeCell ref="N7:N8"/>
    <mergeCell ref="O7:O8"/>
    <mergeCell ref="P7:P8"/>
    <mergeCell ref="Q7:Q8"/>
    <mergeCell ref="R5:R6"/>
    <mergeCell ref="S5:S6"/>
    <mergeCell ref="T5:T6"/>
    <mergeCell ref="U5:V8"/>
    <mergeCell ref="W5:X8"/>
    <mergeCell ref="Y5:Z8"/>
    <mergeCell ref="R7:R8"/>
    <mergeCell ref="S7:S8"/>
    <mergeCell ref="P5:P6"/>
    <mergeCell ref="Q5:Q6"/>
    <mergeCell ref="Y2:Z4"/>
    <mergeCell ref="AA2:AB4"/>
    <mergeCell ref="B9:B12"/>
    <mergeCell ref="AC9:AF12"/>
    <mergeCell ref="U9:V12"/>
    <mergeCell ref="W9:X12"/>
    <mergeCell ref="Y9:Z12"/>
    <mergeCell ref="S11:S12"/>
    <mergeCell ref="T11:T12"/>
    <mergeCell ref="AC2:AF4"/>
    <mergeCell ref="B5:B8"/>
    <mergeCell ref="C5:E8"/>
    <mergeCell ref="F5:G8"/>
    <mergeCell ref="H5:I8"/>
    <mergeCell ref="J5:J6"/>
    <mergeCell ref="K5:K6"/>
    <mergeCell ref="C2:E4"/>
    <mergeCell ref="F2:G4"/>
    <mergeCell ref="H2:I4"/>
    <mergeCell ref="J2:T4"/>
    <mergeCell ref="U2:V4"/>
    <mergeCell ref="W2:X4"/>
    <mergeCell ref="T7:T8"/>
    <mergeCell ref="L5:L6"/>
  </mergeCells>
  <phoneticPr fontId="10"/>
  <conditionalFormatting sqref="W5:W6">
    <cfRule type="cellIs" dxfId="0" priority="1" stopIfTrue="1" operator="equal">
      <formula>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メンバー（入力例)</vt:lpstr>
      <vt:lpstr>4月</vt:lpstr>
      <vt:lpstr>5月</vt:lpstr>
      <vt:lpstr>6月</vt:lpstr>
      <vt:lpstr>メンバー第1四半期合計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luminetachikawa@iphone-qq.com</cp:lastModifiedBy>
  <cp:lastPrinted>2025-12-26T03:45:00Z</cp:lastPrinted>
  <dcterms:created xsi:type="dcterms:W3CDTF">2025-12-25T11:27:00Z</dcterms:created>
  <dcterms:modified xsi:type="dcterms:W3CDTF">2026-04-29T10:49:59Z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1B8072E680AF40FBB1A05AB4BA6B7503</vt:lpwstr>
  </property>
  <property fmtid="{D5CDD505-2E9C-101B-9397-08002B2CF9AE}" pid="3" name="KSOProductBuildVer">
    <vt:lpwstr>1041-11.2.0.10707</vt:lpwstr>
  </property>
</Properties>
</file>